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activeTab="1"/>
  </bookViews>
  <sheets>
    <sheet name="1_Executive_Dashboard" sheetId="1" r:id="rId1"/>
    <sheet name="2_Master_Data" sheetId="2" r:id="rId2"/>
    <sheet name="3_Data_Transaks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<sst xmlns="http://schemas.openxmlformats.org/spreadsheetml/2006/main" count="669" uniqueCount="285">
  <si>
    <t xml:space="preserve">LOGISTICS PERFORMANCE DASHBOARD </t>
  </si>
  <si>
    <t>Q1 2026 | Prepared by: Fachri Rizki Fadillah</t>
  </si>
  <si>
    <t>TOTAL TRIP</t>
  </si>
  <si>
    <t>ON-TIME DELIVERY</t>
  </si>
  <si>
    <t>TOTAL BIAYA BBM</t>
  </si>
  <si>
    <t>TOTAL BONUS DRIVER</t>
  </si>
  <si>
    <t>ANALISIS VOLUME &amp; BIAYA PER RUTE (SUMIF)</t>
  </si>
  <si>
    <t>Kode Kota</t>
  </si>
  <si>
    <t>Total Trip</t>
  </si>
  <si>
    <t>Total Biaya BBM</t>
  </si>
  <si>
    <t>Total Volume</t>
  </si>
  <si>
    <t>BDG</t>
  </si>
  <si>
    <t>BKT</t>
  </si>
  <si>
    <t>BGR</t>
  </si>
  <si>
    <t>JKT</t>
  </si>
  <si>
    <t>GRT</t>
  </si>
  <si>
    <t>SMI</t>
  </si>
  <si>
    <t>TSK</t>
  </si>
  <si>
    <t>CRB</t>
  </si>
  <si>
    <t>PWK</t>
  </si>
  <si>
    <t>Status Pengiriman</t>
  </si>
  <si>
    <t>Jumlah</t>
  </si>
  <si>
    <t>On-Time (Tepat Waktu)</t>
  </si>
  <si>
    <t>Late (Terlambat)</t>
  </si>
  <si>
    <t>Failed (Gagal Kirim)</t>
  </si>
  <si>
    <t>MASTER RUTE &amp; TARIF (VLOOKUP REF)</t>
  </si>
  <si>
    <t>MASTER STATUS (HLOOKUP REF)</t>
  </si>
  <si>
    <t>Kode_Tujuan</t>
  </si>
  <si>
    <t>Kota Tujuan</t>
  </si>
  <si>
    <t>Jarak (KM)</t>
  </si>
  <si>
    <t>Tarif BBM/KM</t>
  </si>
  <si>
    <t>KODE_SLA</t>
  </si>
  <si>
    <t>A</t>
  </si>
  <si>
    <t>B</t>
  </si>
  <si>
    <t>C</t>
  </si>
  <si>
    <t>Bandung</t>
  </si>
  <si>
    <t>Deskripsi</t>
  </si>
  <si>
    <t>Bukittinggi</t>
  </si>
  <si>
    <t>Bogor</t>
  </si>
  <si>
    <t>Jakarta</t>
  </si>
  <si>
    <t>Garut</t>
  </si>
  <si>
    <t>Sukabumi</t>
  </si>
  <si>
    <t>Tasikmalaya</t>
  </si>
  <si>
    <t>Cirebon</t>
  </si>
  <si>
    <t>Purwakarta</t>
  </si>
  <si>
    <t>ID_Kirim</t>
  </si>
  <si>
    <t>Tgl</t>
  </si>
  <si>
    <t>Kode_SLA</t>
  </si>
  <si>
    <t>Kota_Tujuan</t>
  </si>
  <si>
    <t>Jarak</t>
  </si>
  <si>
    <t>Tarif_BBM</t>
  </si>
  <si>
    <t>Total_BBM</t>
  </si>
  <si>
    <t>Status</t>
  </si>
  <si>
    <t>Volume_Muatan</t>
  </si>
  <si>
    <t>Kategori_Rute (IF)</t>
  </si>
  <si>
    <t>Bonus_Driver (IF Bertingkat)</t>
  </si>
  <si>
    <t>TRX-26000</t>
  </si>
  <si>
    <t>2026-01-20</t>
  </si>
  <si>
    <t>TRX-26001</t>
  </si>
  <si>
    <t>2026-02-04</t>
  </si>
  <si>
    <t>TRX-26002</t>
  </si>
  <si>
    <t>2026-01-03</t>
  </si>
  <si>
    <t>TRX-26003</t>
  </si>
  <si>
    <t>2026-01-19</t>
  </si>
  <si>
    <t>TRX-26004</t>
  </si>
  <si>
    <t>2026-03-05</t>
  </si>
  <si>
    <t>TRX-26005</t>
  </si>
  <si>
    <t>2026-02-06</t>
  </si>
  <si>
    <t>TRX-26006</t>
  </si>
  <si>
    <t>2026-03-01</t>
  </si>
  <si>
    <t>TRX-26007</t>
  </si>
  <si>
    <t>2026-01-17</t>
  </si>
  <si>
    <t>TRX-26008</t>
  </si>
  <si>
    <t>2026-03-28</t>
  </si>
  <si>
    <t>TRX-26009</t>
  </si>
  <si>
    <t>2026-02-27</t>
  </si>
  <si>
    <t>TRX-26010</t>
  </si>
  <si>
    <t>2026-01-28</t>
  </si>
  <si>
    <t>TRX-26011</t>
  </si>
  <si>
    <t>2026-01-11</t>
  </si>
  <si>
    <t>TRX-26012</t>
  </si>
  <si>
    <t>2026-01-31</t>
  </si>
  <si>
    <t>TRX-26013</t>
  </si>
  <si>
    <t>2026-03-10</t>
  </si>
  <si>
    <t>TRX-26014</t>
  </si>
  <si>
    <t>2026-03-11</t>
  </si>
  <si>
    <t>TRX-26015</t>
  </si>
  <si>
    <t>2026-01-16</t>
  </si>
  <si>
    <t>TRX-26016</t>
  </si>
  <si>
    <t>2026-02-18</t>
  </si>
  <si>
    <t>TRX-26017</t>
  </si>
  <si>
    <t>TRX-26018</t>
  </si>
  <si>
    <t>2026-01-30</t>
  </si>
  <si>
    <t>TRX-26019</t>
  </si>
  <si>
    <t>2026-02-03</t>
  </si>
  <si>
    <t>TRX-26020</t>
  </si>
  <si>
    <t>2026-02-22</t>
  </si>
  <si>
    <t>TRX-26021</t>
  </si>
  <si>
    <t>2026-03-17</t>
  </si>
  <si>
    <t>TRX-26022</t>
  </si>
  <si>
    <t>2026-02-21</t>
  </si>
  <si>
    <t>TRX-26023</t>
  </si>
  <si>
    <t>2026-02-02</t>
  </si>
  <si>
    <t>TRX-26024</t>
  </si>
  <si>
    <t>TRX-26025</t>
  </si>
  <si>
    <t>TRX-26026</t>
  </si>
  <si>
    <t>TRX-26027</t>
  </si>
  <si>
    <t>2026-02-24</t>
  </si>
  <si>
    <t>TRX-26028</t>
  </si>
  <si>
    <t>2026-01-24</t>
  </si>
  <si>
    <t>TRX-26029</t>
  </si>
  <si>
    <t>TRX-26030</t>
  </si>
  <si>
    <t>2026-02-19</t>
  </si>
  <si>
    <t>TRX-26031</t>
  </si>
  <si>
    <t>2026-01-08</t>
  </si>
  <si>
    <t>TRX-26032</t>
  </si>
  <si>
    <t>2026-03-06</t>
  </si>
  <si>
    <t>TRX-26033</t>
  </si>
  <si>
    <t>2026-03-24</t>
  </si>
  <si>
    <t>TRX-26034</t>
  </si>
  <si>
    <t>TRX-26035</t>
  </si>
  <si>
    <t>TRX-26036</t>
  </si>
  <si>
    <t>2026-03-31</t>
  </si>
  <si>
    <t>TRX-26037</t>
  </si>
  <si>
    <t>2026-02-13</t>
  </si>
  <si>
    <t>TRX-26038</t>
  </si>
  <si>
    <t>2026-03-12</t>
  </si>
  <si>
    <t>TRX-26039</t>
  </si>
  <si>
    <t>2026-03-29</t>
  </si>
  <si>
    <t>TRX-26040</t>
  </si>
  <si>
    <t>TRX-26041</t>
  </si>
  <si>
    <t>TRX-26042</t>
  </si>
  <si>
    <t>2026-02-11</t>
  </si>
  <si>
    <t>TRX-26043</t>
  </si>
  <si>
    <t>TRX-26044</t>
  </si>
  <si>
    <t>2026-01-25</t>
  </si>
  <si>
    <t>TRX-26045</t>
  </si>
  <si>
    <t>TRX-26046</t>
  </si>
  <si>
    <t>2026-03-19</t>
  </si>
  <si>
    <t>TRX-26047</t>
  </si>
  <si>
    <t>TRX-26048</t>
  </si>
  <si>
    <t>2026-03-22</t>
  </si>
  <si>
    <t>TRX-26049</t>
  </si>
  <si>
    <t>TRX-26050</t>
  </si>
  <si>
    <t>TRX-26051</t>
  </si>
  <si>
    <t>2026-04-01</t>
  </si>
  <si>
    <t>TRX-26052</t>
  </si>
  <si>
    <t>2026-02-12</t>
  </si>
  <si>
    <t>TRX-26053</t>
  </si>
  <si>
    <t>TRX-26054</t>
  </si>
  <si>
    <t>2026-02-28</t>
  </si>
  <si>
    <t>TRX-26055</t>
  </si>
  <si>
    <t>2026-03-13</t>
  </si>
  <si>
    <t>TRX-26056</t>
  </si>
  <si>
    <t>2026-02-05</t>
  </si>
  <si>
    <t>TRX-26057</t>
  </si>
  <si>
    <t>TRX-26058</t>
  </si>
  <si>
    <t>TRX-26059</t>
  </si>
  <si>
    <t>2026-01-12</t>
  </si>
  <si>
    <t>TRX-26060</t>
  </si>
  <si>
    <t>2026-01-01</t>
  </si>
  <si>
    <t>TRX-26061</t>
  </si>
  <si>
    <t>TRX-26062</t>
  </si>
  <si>
    <t>2026-01-22</t>
  </si>
  <si>
    <t>TRX-26063</t>
  </si>
  <si>
    <t>2026-03-16</t>
  </si>
  <si>
    <t>TRX-26064</t>
  </si>
  <si>
    <t>TRX-26065</t>
  </si>
  <si>
    <t>TRX-26066</t>
  </si>
  <si>
    <t>2026-03-15</t>
  </si>
  <si>
    <t>TRX-26067</t>
  </si>
  <si>
    <t>TRX-26068</t>
  </si>
  <si>
    <t>2026-01-18</t>
  </si>
  <si>
    <t>TRX-26069</t>
  </si>
  <si>
    <t>2026-01-21</t>
  </si>
  <si>
    <t>TRX-26070</t>
  </si>
  <si>
    <t>2026-03-30</t>
  </si>
  <si>
    <t>TRX-26071</t>
  </si>
  <si>
    <t>TRX-26072</t>
  </si>
  <si>
    <t>2026-03-07</t>
  </si>
  <si>
    <t>TRX-26073</t>
  </si>
  <si>
    <t>TRX-26074</t>
  </si>
  <si>
    <t>TRX-26075</t>
  </si>
  <si>
    <t>TRX-26076</t>
  </si>
  <si>
    <t>2026-03-18</t>
  </si>
  <si>
    <t>TRX-26077</t>
  </si>
  <si>
    <t>2026-03-23</t>
  </si>
  <si>
    <t>TRX-26078</t>
  </si>
  <si>
    <t>2026-03-20</t>
  </si>
  <si>
    <t>TRX-26079</t>
  </si>
  <si>
    <t>TRX-26080</t>
  </si>
  <si>
    <t>2026-02-14</t>
  </si>
  <si>
    <t>TRX-26081</t>
  </si>
  <si>
    <t>2026-01-27</t>
  </si>
  <si>
    <t>TRX-26082</t>
  </si>
  <si>
    <t>TRX-26083</t>
  </si>
  <si>
    <t>TRX-26084</t>
  </si>
  <si>
    <t>2026-01-26</t>
  </si>
  <si>
    <t>TRX-26085</t>
  </si>
  <si>
    <t>TRX-26086</t>
  </si>
  <si>
    <t>2026-02-16</t>
  </si>
  <si>
    <t>TRX-26087</t>
  </si>
  <si>
    <t>TRX-26088</t>
  </si>
  <si>
    <t>2026-01-14</t>
  </si>
  <si>
    <t>TRX-26089</t>
  </si>
  <si>
    <t>TRX-26090</t>
  </si>
  <si>
    <t>2026-02-07</t>
  </si>
  <si>
    <t>TRX-26091</t>
  </si>
  <si>
    <t>TRX-26092</t>
  </si>
  <si>
    <t>TRX-26093</t>
  </si>
  <si>
    <t>2026-01-23</t>
  </si>
  <si>
    <t>TRX-26094</t>
  </si>
  <si>
    <t>TRX-26095</t>
  </si>
  <si>
    <t>2026-02-23</t>
  </si>
  <si>
    <t>TRX-26096</t>
  </si>
  <si>
    <t>2026-03-14</t>
  </si>
  <si>
    <t>TRX-26097</t>
  </si>
  <si>
    <t>2026-02-17</t>
  </si>
  <si>
    <t>TRX-26098</t>
  </si>
  <si>
    <t>TRX-26099</t>
  </si>
  <si>
    <t>TRX-26100</t>
  </si>
  <si>
    <t>TRX-26101</t>
  </si>
  <si>
    <t>TRX-26102</t>
  </si>
  <si>
    <t>TRX-26103</t>
  </si>
  <si>
    <t>TRX-26104</t>
  </si>
  <si>
    <t>2026-02-15</t>
  </si>
  <si>
    <t>TRX-26105</t>
  </si>
  <si>
    <t>TRX-26106</t>
  </si>
  <si>
    <t>2026-03-21</t>
  </si>
  <si>
    <t>TRX-26107</t>
  </si>
  <si>
    <t>2026-01-07</t>
  </si>
  <si>
    <t>TRX-26108</t>
  </si>
  <si>
    <t>TRX-26109</t>
  </si>
  <si>
    <t>TRX-26110</t>
  </si>
  <si>
    <t>TRX-26111</t>
  </si>
  <si>
    <t>TRX-26112</t>
  </si>
  <si>
    <t>TRX-26113</t>
  </si>
  <si>
    <t>TRX-26114</t>
  </si>
  <si>
    <t>TRX-26115</t>
  </si>
  <si>
    <t>2026-03-08</t>
  </si>
  <si>
    <t>TRX-26116</t>
  </si>
  <si>
    <t>2026-02-20</t>
  </si>
  <si>
    <t>TRX-26117</t>
  </si>
  <si>
    <t>TRX-26118</t>
  </si>
  <si>
    <t>TRX-26119</t>
  </si>
  <si>
    <t>TRX-26120</t>
  </si>
  <si>
    <t>2026-03-02</t>
  </si>
  <si>
    <t>TRX-26121</t>
  </si>
  <si>
    <t>TRX-26122</t>
  </si>
  <si>
    <t>2026-01-04</t>
  </si>
  <si>
    <t>TRX-26123</t>
  </si>
  <si>
    <t>TRX-26124</t>
  </si>
  <si>
    <t>2026-01-15</t>
  </si>
  <si>
    <t>TRX-26125</t>
  </si>
  <si>
    <t>TRX-26126</t>
  </si>
  <si>
    <t>TRX-26127</t>
  </si>
  <si>
    <t>2026-03-27</t>
  </si>
  <si>
    <t>TRX-26128</t>
  </si>
  <si>
    <t>TRX-26129</t>
  </si>
  <si>
    <t>TRX-26130</t>
  </si>
  <si>
    <t>TRX-26131</t>
  </si>
  <si>
    <t>TRX-26132</t>
  </si>
  <si>
    <t>2026-03-03</t>
  </si>
  <si>
    <t>TRX-26133</t>
  </si>
  <si>
    <t>TRX-26134</t>
  </si>
  <si>
    <t>2026-02-25</t>
  </si>
  <si>
    <t>TRX-26135</t>
  </si>
  <si>
    <t>TRX-26136</t>
  </si>
  <si>
    <t>TRX-26137</t>
  </si>
  <si>
    <t>2026-02-09</t>
  </si>
  <si>
    <t>TRX-26138</t>
  </si>
  <si>
    <t>TRX-26139</t>
  </si>
  <si>
    <t>TRX-26140</t>
  </si>
  <si>
    <t>2026-01-05</t>
  </si>
  <si>
    <t>TRX-26141</t>
  </si>
  <si>
    <t>2026-02-10</t>
  </si>
  <si>
    <t>TRX-26142</t>
  </si>
  <si>
    <t>2026-01-13</t>
  </si>
  <si>
    <t>TRX-26143</t>
  </si>
  <si>
    <t>TRX-26144</t>
  </si>
  <si>
    <t>TRX-26145</t>
  </si>
  <si>
    <t>TRX-26146</t>
  </si>
  <si>
    <t>TRX-26147</t>
  </si>
  <si>
    <t>TRX-26148</t>
  </si>
  <si>
    <t>TRX-26149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</si>
</sst>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Rp&quot;\ #,##0"/>
    <numFmt numFmtId="179" formatCode="#,##0\ &quot;Kg&quot;"/>
    <numFmt numFmtId="180" formatCode="0.0%"/>
  </numFmts>
  <fonts count="3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b/>
      <sz val="12"/>
      <color rgb="FF2563EB"/>
      <name val="Calibri"/>
      <charset val="134"/>
      <scheme val="minor"/>
    </font>
    <font>
      <b/>
      <sz val="11"/>
      <color rgb="FF1E293B"/>
      <name val="Calibri"/>
      <charset val="134"/>
      <scheme val="minor"/>
    </font>
    <font>
      <sz val="11"/>
      <color rgb="FF1E293B"/>
      <name val="Calibri"/>
      <charset val="134"/>
      <scheme val="minor"/>
    </font>
    <font>
      <b/>
      <sz val="22"/>
      <color rgb="FFFFFFFF"/>
      <name val="Calibri"/>
      <charset val="134"/>
    </font>
    <font>
      <i/>
      <sz val="11"/>
      <color rgb="FF64748B"/>
      <name val="Calibri"/>
      <charset val="134"/>
    </font>
    <font>
      <b/>
      <sz val="10"/>
      <color rgb="FF64748B"/>
      <name val="Calibri"/>
      <charset val="134"/>
    </font>
    <font>
      <b/>
      <sz val="18"/>
      <color rgb="FF2563EB"/>
      <name val="Calibri"/>
      <charset val="134"/>
    </font>
    <font>
      <b/>
      <sz val="18"/>
      <color rgb="FF10B981"/>
      <name val="Calibri"/>
      <charset val="134"/>
    </font>
    <font>
      <sz val="11"/>
      <color rgb="FFF8FAFC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theme="4" tint="0.6"/>
        <bgColor rgb="FFF8FAFC"/>
      </patternFill>
    </fill>
    <fill>
      <patternFill patternType="solid">
        <fgColor rgb="FFF8FAFC"/>
        <bgColor rgb="FFF8FAFC"/>
      </patternFill>
    </fill>
    <fill>
      <patternFill patternType="solid">
        <fgColor theme="4" tint="0.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/>
      <diagonal/>
    </border>
    <border>
      <left/>
      <right/>
      <top style="medium">
        <color rgb="FFE2E8F0"/>
      </top>
      <bottom/>
      <diagonal/>
    </border>
    <border>
      <left/>
      <right style="medium">
        <color rgb="FFE2E8F0"/>
      </right>
      <top style="medium">
        <color rgb="FFE2E8F0"/>
      </top>
      <bottom/>
      <diagonal/>
    </border>
    <border>
      <left style="medium">
        <color rgb="FFE2E8F0"/>
      </left>
      <right style="medium">
        <color rgb="FFE2E8F0"/>
      </right>
      <top/>
      <bottom style="medium">
        <color rgb="FFE2E8F0"/>
      </bottom>
      <diagonal/>
    </border>
    <border>
      <left/>
      <right style="medium">
        <color rgb="FFE2E8F0"/>
      </right>
      <top/>
      <bottom/>
      <diagonal/>
    </border>
    <border>
      <left style="medium">
        <color rgb="FFE2E8F0"/>
      </left>
      <right/>
      <top/>
      <bottom style="medium">
        <color rgb="FFE2E8F0"/>
      </bottom>
      <diagonal/>
    </border>
    <border>
      <left/>
      <right/>
      <top/>
      <bottom style="medium">
        <color rgb="FFE2E8F0"/>
      </bottom>
      <diagonal/>
    </border>
    <border>
      <left/>
      <right style="medium">
        <color rgb="FFE2E8F0"/>
      </right>
      <top/>
      <bottom style="medium">
        <color rgb="FFE2E8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14" applyNumberFormat="0" applyAlignment="0" applyProtection="0">
      <alignment vertical="center"/>
    </xf>
    <xf numFmtId="0" fontId="21" fillId="10" borderId="15" applyNumberFormat="0" applyAlignment="0" applyProtection="0">
      <alignment vertical="center"/>
    </xf>
    <xf numFmtId="0" fontId="22" fillId="10" borderId="14" applyNumberFormat="0" applyAlignment="0" applyProtection="0">
      <alignment vertical="center"/>
    </xf>
    <xf numFmtId="0" fontId="23" fillId="11" borderId="16" applyNumberFormat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78" fontId="0" fillId="0" borderId="0" xfId="0" applyNumberFormat="1"/>
    <xf numFmtId="179" fontId="0" fillId="0" borderId="0" xfId="0" applyNumberFormat="1"/>
    <xf numFmtId="0" fontId="2" fillId="3" borderId="2" xfId="0" applyFont="1" applyFill="1" applyBorder="1" applyAlignment="1">
      <alignment horizontal="center"/>
    </xf>
    <xf numFmtId="0" fontId="0" fillId="4" borderId="0" xfId="0" applyFill="1"/>
    <xf numFmtId="0" fontId="2" fillId="4" borderId="0" xfId="0" applyFont="1" applyFill="1"/>
    <xf numFmtId="0" fontId="0" fillId="5" borderId="2" xfId="0" applyFill="1" applyBorder="1"/>
    <xf numFmtId="0" fontId="3" fillId="4" borderId="1" xfId="0" applyFont="1" applyFill="1" applyBorder="1"/>
    <xf numFmtId="0" fontId="0" fillId="0" borderId="2" xfId="0" applyBorder="1"/>
    <xf numFmtId="0" fontId="4" fillId="4" borderId="1" xfId="0" applyFont="1" applyFill="1" applyBorder="1"/>
    <xf numFmtId="0" fontId="5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3" fontId="8" fillId="6" borderId="6" xfId="0" applyNumberFormat="1" applyFont="1" applyFill="1" applyBorder="1" applyAlignment="1">
      <alignment horizontal="center" vertical="center"/>
    </xf>
    <xf numFmtId="0" fontId="0" fillId="0" borderId="7" xfId="0" applyBorder="1"/>
    <xf numFmtId="180" fontId="9" fillId="6" borderId="6" xfId="0" applyNumberFormat="1" applyFont="1" applyFill="1" applyBorder="1" applyAlignment="1">
      <alignment horizontal="center" vertical="center"/>
    </xf>
    <xf numFmtId="178" fontId="8" fillId="6" borderId="6" xfId="0" applyNumberFormat="1" applyFont="1" applyFill="1" applyBorder="1" applyAlignment="1">
      <alignment horizontal="center" vertical="center"/>
    </xf>
    <xf numFmtId="178" fontId="9" fillId="6" borderId="6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6" borderId="0" xfId="0" applyFill="1"/>
    <xf numFmtId="0" fontId="2" fillId="4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178" fontId="4" fillId="7" borderId="1" xfId="0" applyNumberFormat="1" applyFont="1" applyFill="1" applyBorder="1"/>
    <xf numFmtId="179" fontId="4" fillId="7" borderId="1" xfId="0" applyNumberFormat="1" applyFont="1" applyFill="1" applyBorder="1"/>
    <xf numFmtId="0" fontId="4" fillId="6" borderId="1" xfId="0" applyFont="1" applyFill="1" applyBorder="1" applyAlignment="1">
      <alignment horizontal="center" vertical="center"/>
    </xf>
    <xf numFmtId="178" fontId="4" fillId="6" borderId="1" xfId="0" applyNumberFormat="1" applyFont="1" applyFill="1" applyBorder="1"/>
    <xf numFmtId="179" fontId="4" fillId="6" borderId="1" xfId="0" applyNumberFormat="1" applyFont="1" applyFill="1" applyBorder="1"/>
    <xf numFmtId="0" fontId="10" fillId="4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Total Volume Muatan per Rute (Kg)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'1_Executive_Dashboard'!$E$14</c:f>
              <c:strCache>
                <c:ptCount val="1"/>
                <c:pt idx="0">
                  <c:v>Total Volume</c:v>
                </c:pt>
              </c:strCache>
            </c:strRef>
          </c:tx>
          <c:spPr>
            <a:solidFill>
              <a:srgbClr val="2563EB"/>
            </a:solidFill>
            <a:ln>
              <a:noFill/>
              <a:prstDash val="solid"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'1_Executive_Dashboard'!$B$15:$B$23</c:f>
              <c:strCache>
                <c:ptCount val="9"/>
                <c:pt idx="0">
                  <c:v>BDG</c:v>
                </c:pt>
                <c:pt idx="1">
                  <c:v>BKT</c:v>
                </c:pt>
                <c:pt idx="2">
                  <c:v>BGR</c:v>
                </c:pt>
                <c:pt idx="3">
                  <c:v>JKT</c:v>
                </c:pt>
                <c:pt idx="4">
                  <c:v>GRT</c:v>
                </c:pt>
                <c:pt idx="5">
                  <c:v>SMI</c:v>
                </c:pt>
                <c:pt idx="6">
                  <c:v>TSK</c:v>
                </c:pt>
                <c:pt idx="7">
                  <c:v>CRB</c:v>
                </c:pt>
                <c:pt idx="8">
                  <c:v>PWK</c:v>
                </c:pt>
              </c:strCache>
            </c:strRef>
          </c:cat>
          <c:val>
            <c:numRef>
              <c:f>'1_Executive_Dashboard'!$E$15:$E$23</c:f>
              <c:numCache>
                <c:formatCode>#,##0\ "Kg"</c:formatCode>
                <c:ptCount val="9"/>
                <c:pt idx="0">
                  <c:v>79168</c:v>
                </c:pt>
                <c:pt idx="1">
                  <c:v>114062</c:v>
                </c:pt>
                <c:pt idx="2">
                  <c:v>69087</c:v>
                </c:pt>
                <c:pt idx="3">
                  <c:v>55353</c:v>
                </c:pt>
                <c:pt idx="4">
                  <c:v>51866</c:v>
                </c:pt>
                <c:pt idx="5">
                  <c:v>97710</c:v>
                </c:pt>
                <c:pt idx="6">
                  <c:v>44136</c:v>
                </c:pt>
                <c:pt idx="7">
                  <c:v>85092</c:v>
                </c:pt>
                <c:pt idx="8">
                  <c:v>49321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Kode Kota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Volume (Kg)</a:t>
                </a:r>
              </a:p>
            </c:rich>
          </c:tx>
          <c:layout/>
          <c:overlay val="0"/>
        </c:title>
        <c:numFmt formatCode="#,##0\ &quot;Kg&quot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0206a7f-cd86-4690-b9cd-1a2d89149b8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SLA Ketepatan Waktu (On-Time vs Late)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'1_Executive_Dashboard'!$C$32</c:f>
              <c:strCache>
                <c:ptCount val="1"/>
                <c:pt idx="0">
                  <c:v>Jumlah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'1_Executive_Dashboard'!$B$33:$B$35</c:f>
              <c:strCache>
                <c:ptCount val="3"/>
                <c:pt idx="0">
                  <c:v>On-Time (Tepat Waktu)</c:v>
                </c:pt>
                <c:pt idx="1">
                  <c:v>Late (Terlambat)</c:v>
                </c:pt>
                <c:pt idx="2">
                  <c:v>Failed (Gagal Kirim)</c:v>
                </c:pt>
              </c:strCache>
            </c:strRef>
          </c:cat>
          <c:val>
            <c:numRef>
              <c:f>'1_Executive_Dashboard'!$C$33:$C$35</c:f>
              <c:numCache>
                <c:formatCode>General</c:formatCode>
                <c:ptCount val="3"/>
                <c:pt idx="0">
                  <c:v>106</c:v>
                </c:pt>
                <c:pt idx="1">
                  <c:v>22</c:v>
                </c:pt>
                <c:pt idx="2">
                  <c:v>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2e08ea0-f7d2-4904-ad20-40d5467377d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19050</xdr:colOff>
      <xdr:row>10</xdr:row>
      <xdr:rowOff>133350</xdr:rowOff>
    </xdr:from>
    <xdr:ext cx="4860000" cy="2709525"/>
    <xdr:graphicFrame>
      <xdr:nvGraphicFramePr>
        <xdr:cNvPr id="2" name="Chart 1"/>
        <xdr:cNvGraphicFramePr/>
      </xdr:nvGraphicFramePr>
      <xdr:xfrm>
        <a:off x="4953000" y="2066925"/>
        <a:ext cx="4859655" cy="27089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19050</xdr:colOff>
      <xdr:row>24</xdr:row>
      <xdr:rowOff>152400</xdr:rowOff>
    </xdr:from>
    <xdr:ext cx="2879725" cy="2708910"/>
    <xdr:graphicFrame>
      <xdr:nvGraphicFramePr>
        <xdr:cNvPr id="3" name="Chart 2"/>
        <xdr:cNvGraphicFramePr/>
      </xdr:nvGraphicFramePr>
      <xdr:xfrm>
        <a:off x="4953000" y="4762500"/>
        <a:ext cx="2879725" cy="27089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TabelTransaksi" displayName="TabelTransaksi" ref="A1:L151">
  <autoFilter xmlns:etc="http://www.wps.cn/officeDocument/2017/etCustomData" ref="A1:L151" etc:filterBottomFollowUsedRange="0"/>
  <tableColumns count="12">
    <tableColumn id="1" name="ID_Kirim"/>
    <tableColumn id="2" name="Tgl"/>
    <tableColumn id="3" name="Kode_Tujuan"/>
    <tableColumn id="4" name="Kode_SLA"/>
    <tableColumn id="5" name="Kota_Tujuan"/>
    <tableColumn id="6" name="Jarak"/>
    <tableColumn id="7" name="Tarif_BBM"/>
    <tableColumn id="8" name="Total_BBM"/>
    <tableColumn id="9" name="Status"/>
    <tableColumn id="10" name="Volume_Muatan"/>
    <tableColumn id="11" name="Kategori_Rute (IF)"/>
    <tableColumn id="12" name="Bonus_Driver (IF Bertingkat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showGridLines="0" workbookViewId="0">
      <selection activeCell="B2" sqref="B2:M4"/>
    </sheetView>
  </sheetViews>
  <sheetFormatPr defaultColWidth="9" defaultRowHeight="15"/>
  <cols>
    <col min="2" max="2" width="12" customWidth="1"/>
    <col min="3" max="3" width="15" customWidth="1"/>
    <col min="4" max="4" width="20" customWidth="1"/>
    <col min="5" max="5" width="18" customWidth="1"/>
  </cols>
  <sheetData>
    <row r="1" spans="1:14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5"/>
      <c r="B2" s="11" t="s">
        <v>0</v>
      </c>
      <c r="N2" s="5"/>
    </row>
    <row r="3" spans="1:14">
      <c r="A3" s="5"/>
      <c r="N3" s="5"/>
    </row>
    <row r="4" spans="1:14">
      <c r="A4" s="5"/>
      <c r="N4" s="5"/>
    </row>
    <row r="5" spans="1:14">
      <c r="A5" s="5"/>
      <c r="B5" s="12" t="s">
        <v>1</v>
      </c>
      <c r="N5" s="5"/>
    </row>
    <row r="6" ht="15.75" spans="1:1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>
      <c r="A7" s="5"/>
      <c r="B7" s="13" t="s">
        <v>2</v>
      </c>
      <c r="C7" s="14"/>
      <c r="D7" s="15"/>
      <c r="E7" s="13" t="s">
        <v>3</v>
      </c>
      <c r="F7" s="14"/>
      <c r="G7" s="15"/>
      <c r="H7" s="13" t="s">
        <v>4</v>
      </c>
      <c r="I7" s="14"/>
      <c r="J7" s="15"/>
      <c r="K7" s="13" t="s">
        <v>5</v>
      </c>
      <c r="L7" s="14"/>
      <c r="M7" s="15"/>
      <c r="N7" s="5"/>
    </row>
    <row r="8" ht="15.75" spans="1:14">
      <c r="A8" s="5"/>
      <c r="B8" s="16">
        <f>COUNTA('3_Data_Transaksi'!A:A)-1</f>
        <v>150</v>
      </c>
      <c r="D8" s="17"/>
      <c r="E8" s="18">
        <f>IF(COUNTA('3_Data_Transaksi'!A:A)&gt;1,COUNTIF('3_Data_Transaksi'!I:I,"On-Time (Tepat Waktu)")/(COUNTA('3_Data_Transaksi'!A:A)-1),0)</f>
        <v>0.706666666666667</v>
      </c>
      <c r="G8" s="17"/>
      <c r="H8" s="19">
        <f>SUM('3_Data_Transaksi'!H:H)</f>
        <v>304674000</v>
      </c>
      <c r="J8" s="17"/>
      <c r="K8" s="20">
        <f>SUM('3_Data_Transaksi'!L:L)</f>
        <v>3760000</v>
      </c>
      <c r="M8" s="17"/>
      <c r="N8" s="5"/>
    </row>
    <row r="9" ht="15.75" spans="1:14">
      <c r="A9" s="5"/>
      <c r="B9" s="21"/>
      <c r="C9" s="22"/>
      <c r="D9" s="23"/>
      <c r="E9" s="21"/>
      <c r="F9" s="22"/>
      <c r="G9" s="23"/>
      <c r="H9" s="21"/>
      <c r="I9" s="22"/>
      <c r="J9" s="23"/>
      <c r="K9" s="21"/>
      <c r="L9" s="22"/>
      <c r="M9" s="23"/>
      <c r="N9" s="5"/>
    </row>
    <row r="10" spans="1:1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>
      <c r="A11" s="5"/>
      <c r="B11" s="5"/>
      <c r="C11" s="5"/>
      <c r="D11" s="5"/>
      <c r="E11" s="5"/>
      <c r="F11" s="24"/>
      <c r="G11" s="24"/>
      <c r="H11" s="24"/>
      <c r="I11" s="24"/>
      <c r="J11" s="24"/>
      <c r="K11" s="24"/>
      <c r="L11" s="24"/>
      <c r="M11" s="24"/>
      <c r="N11" s="5"/>
    </row>
    <row r="12" ht="15.75" spans="1:14">
      <c r="A12" s="5"/>
      <c r="B12" s="25" t="s">
        <v>6</v>
      </c>
      <c r="F12" s="24"/>
      <c r="G12" s="24"/>
      <c r="H12" s="24"/>
      <c r="I12" s="24"/>
      <c r="J12" s="24"/>
      <c r="K12" s="24"/>
      <c r="L12" s="24"/>
      <c r="M12" s="24"/>
      <c r="N12" s="5"/>
    </row>
    <row r="13" spans="1:14">
      <c r="A13" s="5"/>
      <c r="B13" s="5"/>
      <c r="C13" s="5"/>
      <c r="D13" s="5"/>
      <c r="E13" s="5"/>
      <c r="F13" s="24"/>
      <c r="G13" s="24"/>
      <c r="H13" s="24"/>
      <c r="I13" s="24"/>
      <c r="J13" s="24"/>
      <c r="K13" s="24"/>
      <c r="L13" s="24"/>
      <c r="M13" s="24"/>
      <c r="N13" s="5"/>
    </row>
    <row r="14" spans="1:14">
      <c r="A14" s="5"/>
      <c r="B14" s="1" t="s">
        <v>7</v>
      </c>
      <c r="C14" s="1" t="s">
        <v>8</v>
      </c>
      <c r="D14" s="1" t="s">
        <v>9</v>
      </c>
      <c r="E14" s="1" t="s">
        <v>10</v>
      </c>
      <c r="F14" s="24"/>
      <c r="G14" s="24"/>
      <c r="H14" s="24"/>
      <c r="I14" s="24"/>
      <c r="J14" s="24"/>
      <c r="K14" s="24"/>
      <c r="L14" s="24"/>
      <c r="M14" s="24"/>
      <c r="N14" s="5"/>
    </row>
    <row r="15" spans="1:14">
      <c r="A15" s="5"/>
      <c r="B15" s="26" t="s">
        <v>11</v>
      </c>
      <c r="C15" s="26">
        <f>COUNTIF('3_Data_Transaksi'!$C:$C,B15)</f>
        <v>18</v>
      </c>
      <c r="D15" s="27">
        <f>SUMIF('3_Data_Transaksi'!$C:$C,B15,'3_Data_Transaksi'!$H:$H)</f>
        <v>7956000</v>
      </c>
      <c r="E15" s="28">
        <f>SUMIF('3_Data_Transaksi'!$C:$C,B15,'3_Data_Transaksi'!$J:$J)</f>
        <v>79168</v>
      </c>
      <c r="F15" s="24"/>
      <c r="G15" s="24"/>
      <c r="H15" s="24"/>
      <c r="I15" s="24"/>
      <c r="J15" s="24"/>
      <c r="K15" s="24"/>
      <c r="L15" s="24"/>
      <c r="M15" s="24"/>
      <c r="N15" s="5"/>
    </row>
    <row r="16" spans="1:14">
      <c r="A16" s="5"/>
      <c r="B16" s="29" t="s">
        <v>12</v>
      </c>
      <c r="C16" s="29">
        <f>COUNTIF('3_Data_Transaksi'!$C:$C,B16)</f>
        <v>26</v>
      </c>
      <c r="D16" s="30">
        <f>SUMIF('3_Data_Transaksi'!$C:$C,B16,'3_Data_Transaksi'!$H:$H)</f>
        <v>212160000</v>
      </c>
      <c r="E16" s="31">
        <f>SUMIF('3_Data_Transaksi'!$C:$C,B16,'3_Data_Transaksi'!$J:$J)</f>
        <v>114062</v>
      </c>
      <c r="F16" s="24"/>
      <c r="G16" s="24"/>
      <c r="H16" s="24"/>
      <c r="I16" s="24"/>
      <c r="J16" s="24"/>
      <c r="K16" s="24"/>
      <c r="L16" s="24"/>
      <c r="M16" s="24"/>
      <c r="N16" s="5"/>
    </row>
    <row r="17" spans="1:14">
      <c r="A17" s="5"/>
      <c r="B17" s="26" t="s">
        <v>13</v>
      </c>
      <c r="C17" s="26">
        <f>COUNTIF('3_Data_Transaksi'!$C:$C,B17)</f>
        <v>15</v>
      </c>
      <c r="D17" s="27">
        <f>SUMIF('3_Data_Transaksi'!$C:$C,B17,'3_Data_Transaksi'!$H:$H)</f>
        <v>8160000</v>
      </c>
      <c r="E17" s="28">
        <f>SUMIF('3_Data_Transaksi'!$C:$C,B17,'3_Data_Transaksi'!$J:$J)</f>
        <v>69087</v>
      </c>
      <c r="F17" s="24"/>
      <c r="G17" s="24"/>
      <c r="H17" s="24"/>
      <c r="I17" s="24"/>
      <c r="J17" s="24"/>
      <c r="K17" s="24"/>
      <c r="L17" s="24"/>
      <c r="M17" s="24"/>
      <c r="N17" s="5"/>
    </row>
    <row r="18" spans="1:14">
      <c r="A18" s="5"/>
      <c r="B18" s="29" t="s">
        <v>14</v>
      </c>
      <c r="C18" s="29">
        <f>COUNTIF('3_Data_Transaksi'!$C:$C,B18)</f>
        <v>12</v>
      </c>
      <c r="D18" s="30">
        <f>SUMIF('3_Data_Transaksi'!$C:$C,B18,'3_Data_Transaksi'!$H:$H)</f>
        <v>8976000</v>
      </c>
      <c r="E18" s="31">
        <f>SUMIF('3_Data_Transaksi'!$C:$C,B18,'3_Data_Transaksi'!$J:$J)</f>
        <v>55353</v>
      </c>
      <c r="F18" s="24"/>
      <c r="G18" s="24"/>
      <c r="H18" s="24"/>
      <c r="I18" s="24"/>
      <c r="J18" s="24"/>
      <c r="K18" s="24"/>
      <c r="L18" s="24"/>
      <c r="M18" s="24"/>
      <c r="N18" s="5"/>
    </row>
    <row r="19" spans="1:14">
      <c r="A19" s="5"/>
      <c r="B19" s="26" t="s">
        <v>15</v>
      </c>
      <c r="C19" s="26">
        <f>COUNTIF('3_Data_Transaksi'!$C:$C,B19)</f>
        <v>14</v>
      </c>
      <c r="D19" s="27">
        <f>SUMIF('3_Data_Transaksi'!$C:$C,B19,'3_Data_Transaksi'!$H:$H)</f>
        <v>12376000</v>
      </c>
      <c r="E19" s="28">
        <f>SUMIF('3_Data_Transaksi'!$C:$C,B19,'3_Data_Transaksi'!$J:$J)</f>
        <v>51866</v>
      </c>
      <c r="F19" s="24"/>
      <c r="G19" s="24"/>
      <c r="H19" s="24"/>
      <c r="I19" s="24"/>
      <c r="J19" s="24"/>
      <c r="K19" s="24"/>
      <c r="L19" s="24"/>
      <c r="M19" s="24"/>
      <c r="N19" s="5"/>
    </row>
    <row r="20" spans="1:14">
      <c r="A20" s="5"/>
      <c r="B20" s="29" t="s">
        <v>16</v>
      </c>
      <c r="C20" s="29">
        <f>COUNTIF('3_Data_Transaksi'!$C:$C,B20)</f>
        <v>21</v>
      </c>
      <c r="D20" s="30">
        <f>SUMIF('3_Data_Transaksi'!$C:$C,B20,'3_Data_Transaksi'!$H:$H)</f>
        <v>6426000</v>
      </c>
      <c r="E20" s="31">
        <f>SUMIF('3_Data_Transaksi'!$C:$C,B20,'3_Data_Transaksi'!$J:$J)</f>
        <v>97710</v>
      </c>
      <c r="F20" s="24"/>
      <c r="G20" s="24"/>
      <c r="H20" s="24"/>
      <c r="I20" s="24"/>
      <c r="J20" s="24"/>
      <c r="K20" s="24"/>
      <c r="L20" s="24"/>
      <c r="M20" s="24"/>
      <c r="N20" s="5"/>
    </row>
    <row r="21" spans="1:14">
      <c r="A21" s="5"/>
      <c r="B21" s="26" t="s">
        <v>17</v>
      </c>
      <c r="C21" s="26">
        <f>COUNTIF('3_Data_Transaksi'!$C:$C,B21)</f>
        <v>13</v>
      </c>
      <c r="D21" s="27">
        <f>SUMIF('3_Data_Transaksi'!$C:$C,B21,'3_Data_Transaksi'!$H:$H)</f>
        <v>14144000</v>
      </c>
      <c r="E21" s="28">
        <f>SUMIF('3_Data_Transaksi'!$C:$C,B21,'3_Data_Transaksi'!$J:$J)</f>
        <v>44136</v>
      </c>
      <c r="F21" s="24"/>
      <c r="G21" s="24"/>
      <c r="H21" s="24"/>
      <c r="I21" s="24"/>
      <c r="J21" s="24"/>
      <c r="K21" s="24"/>
      <c r="L21" s="24"/>
      <c r="M21" s="24"/>
      <c r="N21" s="5"/>
    </row>
    <row r="22" spans="1:14">
      <c r="A22" s="5"/>
      <c r="B22" s="29" t="s">
        <v>18</v>
      </c>
      <c r="C22" s="29">
        <f>COUNTIF('3_Data_Transaksi'!$C:$C,B22)</f>
        <v>17</v>
      </c>
      <c r="D22" s="30">
        <f>SUMIF('3_Data_Transaksi'!$C:$C,B22,'3_Data_Transaksi'!$H:$H)</f>
        <v>25432000</v>
      </c>
      <c r="E22" s="31">
        <f>SUMIF('3_Data_Transaksi'!$C:$C,B22,'3_Data_Transaksi'!$J:$J)</f>
        <v>85092</v>
      </c>
      <c r="F22" s="24"/>
      <c r="G22" s="24"/>
      <c r="H22" s="24"/>
      <c r="I22" s="24"/>
      <c r="J22" s="24"/>
      <c r="K22" s="24"/>
      <c r="L22" s="24"/>
      <c r="M22" s="24"/>
      <c r="N22" s="5"/>
    </row>
    <row r="23" spans="1:14">
      <c r="A23" s="5"/>
      <c r="B23" s="26" t="s">
        <v>19</v>
      </c>
      <c r="C23" s="26">
        <f>COUNTIF('3_Data_Transaksi'!$C:$C,B23)</f>
        <v>14</v>
      </c>
      <c r="D23" s="27">
        <f>SUMIF('3_Data_Transaksi'!$C:$C,B23,'3_Data_Transaksi'!$H:$H)</f>
        <v>9044000</v>
      </c>
      <c r="E23" s="28">
        <f>SUMIF('3_Data_Transaksi'!$C:$C,B23,'3_Data_Transaksi'!$J:$J)</f>
        <v>49321</v>
      </c>
      <c r="F23" s="24"/>
      <c r="G23" s="24"/>
      <c r="H23" s="24"/>
      <c r="I23" s="24"/>
      <c r="J23" s="24"/>
      <c r="K23" s="24"/>
      <c r="L23" s="24"/>
      <c r="M23" s="24"/>
      <c r="N23" s="5"/>
    </row>
    <row r="24" spans="1:14">
      <c r="A24" s="5"/>
      <c r="B24" s="5"/>
      <c r="C24" s="5"/>
      <c r="D24" s="5"/>
      <c r="E24" s="5"/>
      <c r="F24" s="24"/>
      <c r="G24" s="24"/>
      <c r="H24" s="24"/>
      <c r="I24" s="24"/>
      <c r="J24" s="24"/>
      <c r="K24" s="24"/>
      <c r="L24" s="24"/>
      <c r="M24" s="24"/>
      <c r="N24" s="5"/>
    </row>
    <row r="25" spans="1:14">
      <c r="A25" s="5"/>
      <c r="B25" s="5"/>
      <c r="C25" s="5"/>
      <c r="D25" s="5"/>
      <c r="E25" s="5"/>
      <c r="F25" s="24"/>
      <c r="G25" s="24"/>
      <c r="H25" s="24"/>
      <c r="I25" s="24"/>
      <c r="J25" s="24"/>
      <c r="K25" s="24"/>
      <c r="L25" s="24"/>
      <c r="M25" s="24"/>
      <c r="N25" s="5"/>
    </row>
    <row r="26" spans="1:14">
      <c r="A26" s="5"/>
      <c r="B26" s="5"/>
      <c r="C26" s="5"/>
      <c r="D26" s="5"/>
      <c r="E26" s="5"/>
      <c r="F26" s="24"/>
      <c r="G26" s="24"/>
      <c r="H26" s="24"/>
      <c r="I26" s="24"/>
      <c r="J26" s="24"/>
      <c r="K26" s="24"/>
      <c r="L26" s="24"/>
      <c r="M26" s="24"/>
      <c r="N26" s="5"/>
    </row>
    <row r="27" spans="1:14">
      <c r="A27" s="5"/>
      <c r="B27" s="5"/>
      <c r="C27" s="5"/>
      <c r="D27" s="5"/>
      <c r="E27" s="5"/>
      <c r="F27" s="24"/>
      <c r="G27" s="24"/>
      <c r="H27" s="24"/>
      <c r="I27" s="24"/>
      <c r="J27" s="24"/>
      <c r="K27" s="24"/>
      <c r="L27" s="24"/>
      <c r="M27" s="24"/>
      <c r="N27" s="5"/>
    </row>
    <row r="28" spans="1:14">
      <c r="A28" s="5"/>
      <c r="B28" s="5"/>
      <c r="C28" s="5"/>
      <c r="D28" s="5"/>
      <c r="E28" s="5"/>
      <c r="F28" s="24"/>
      <c r="G28" s="24"/>
      <c r="H28" s="24"/>
      <c r="I28" s="24"/>
      <c r="J28" s="24"/>
      <c r="K28" s="24"/>
      <c r="L28" s="24"/>
      <c r="M28" s="24"/>
      <c r="N28" s="5"/>
    </row>
    <row r="29" spans="1:14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1:14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>
      <c r="A32" s="5"/>
      <c r="B32" s="32" t="s">
        <v>20</v>
      </c>
      <c r="C32" s="32" t="s">
        <v>21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>
      <c r="A33" s="5"/>
      <c r="B33" s="32" t="s">
        <v>22</v>
      </c>
      <c r="C33" s="32">
        <f>COUNTIF('3_Data_Transaksi'!I:I,B33)</f>
        <v>106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>
      <c r="A34" s="5"/>
      <c r="B34" s="32" t="s">
        <v>23</v>
      </c>
      <c r="C34" s="32">
        <f>COUNTIF('3_Data_Transaksi'!I:I,B34)</f>
        <v>22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>
      <c r="A35" s="5"/>
      <c r="B35" s="32" t="s">
        <v>24</v>
      </c>
      <c r="C35" s="32">
        <f>COUNTIF('3_Data_Transaksi'!I:I,B35)</f>
        <v>22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4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4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4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4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4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</sheetData>
  <mergeCells count="11">
    <mergeCell ref="B5:M5"/>
    <mergeCell ref="B7:D7"/>
    <mergeCell ref="E7:G7"/>
    <mergeCell ref="H7:J7"/>
    <mergeCell ref="K7:M7"/>
    <mergeCell ref="B12:E12"/>
    <mergeCell ref="B2:M4"/>
    <mergeCell ref="B8:D9"/>
    <mergeCell ref="E8:G9"/>
    <mergeCell ref="H8:J9"/>
    <mergeCell ref="K8:M9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G10" sqref="G10"/>
    </sheetView>
  </sheetViews>
  <sheetFormatPr defaultColWidth="9" defaultRowHeight="15"/>
  <cols>
    <col min="1" max="1" width="35" customWidth="1"/>
    <col min="2" max="2" width="13" customWidth="1"/>
    <col min="3" max="3" width="12" customWidth="1"/>
    <col min="4" max="4" width="14" customWidth="1"/>
    <col min="5" max="6" width="6" customWidth="1"/>
    <col min="7" max="7" width="29" customWidth="1"/>
    <col min="8" max="8" width="23" customWidth="1"/>
    <col min="9" max="9" width="18" customWidth="1"/>
    <col min="10" max="10" width="22" customWidth="1"/>
    <col min="11" max="11" width="6" customWidth="1"/>
  </cols>
  <sheetData>
    <row r="1" ht="15.75" spans="1:11">
      <c r="A1" s="4" t="s">
        <v>25</v>
      </c>
      <c r="B1" s="4"/>
      <c r="C1" s="4"/>
      <c r="D1" s="4"/>
      <c r="E1" s="5"/>
      <c r="F1" s="5"/>
      <c r="G1" s="6" t="s">
        <v>26</v>
      </c>
      <c r="H1" s="5"/>
      <c r="I1" s="5"/>
      <c r="J1" s="5"/>
      <c r="K1" s="5"/>
    </row>
    <row r="2" spans="1:11">
      <c r="A2" s="7" t="s">
        <v>27</v>
      </c>
      <c r="B2" s="7" t="s">
        <v>28</v>
      </c>
      <c r="C2" s="7" t="s">
        <v>29</v>
      </c>
      <c r="D2" s="7" t="s">
        <v>30</v>
      </c>
      <c r="E2" s="5"/>
      <c r="F2" s="5"/>
      <c r="G2" s="1" t="s">
        <v>31</v>
      </c>
      <c r="H2" s="8" t="s">
        <v>32</v>
      </c>
      <c r="I2" s="8" t="s">
        <v>33</v>
      </c>
      <c r="J2" s="8" t="s">
        <v>34</v>
      </c>
      <c r="K2" s="5"/>
    </row>
    <row r="3" spans="1:11">
      <c r="A3" s="9" t="s">
        <v>11</v>
      </c>
      <c r="B3" s="9" t="s">
        <v>35</v>
      </c>
      <c r="C3" s="9">
        <v>65</v>
      </c>
      <c r="D3" s="9">
        <v>6800</v>
      </c>
      <c r="E3" s="5"/>
      <c r="F3" s="5"/>
      <c r="G3" s="1" t="s">
        <v>36</v>
      </c>
      <c r="H3" s="10" t="s">
        <v>22</v>
      </c>
      <c r="I3" s="10" t="s">
        <v>23</v>
      </c>
      <c r="J3" s="10" t="s">
        <v>24</v>
      </c>
      <c r="K3" s="5"/>
    </row>
    <row r="4" spans="1:11">
      <c r="A4" s="9" t="s">
        <v>12</v>
      </c>
      <c r="B4" s="9" t="s">
        <v>37</v>
      </c>
      <c r="C4" s="9">
        <v>1200</v>
      </c>
      <c r="D4" s="9">
        <v>6800</v>
      </c>
      <c r="E4" s="5"/>
      <c r="F4" s="5"/>
      <c r="G4" s="5"/>
      <c r="H4" s="5"/>
      <c r="I4" s="5"/>
      <c r="J4" s="5"/>
      <c r="K4" s="5"/>
    </row>
    <row r="5" spans="1:11">
      <c r="A5" s="9" t="s">
        <v>13</v>
      </c>
      <c r="B5" s="9" t="s">
        <v>38</v>
      </c>
      <c r="C5" s="9">
        <v>80</v>
      </c>
      <c r="D5" s="9">
        <v>6800</v>
      </c>
      <c r="E5" s="5"/>
      <c r="F5" s="5"/>
      <c r="G5" s="5"/>
      <c r="H5" s="5"/>
      <c r="I5" s="5"/>
      <c r="J5" s="5"/>
      <c r="K5" s="5"/>
    </row>
    <row r="6" spans="1:11">
      <c r="A6" s="9" t="s">
        <v>14</v>
      </c>
      <c r="B6" s="9" t="s">
        <v>39</v>
      </c>
      <c r="C6" s="9">
        <v>110</v>
      </c>
      <c r="D6" s="9">
        <v>6800</v>
      </c>
      <c r="E6" s="5"/>
      <c r="F6" s="5"/>
      <c r="G6" s="5"/>
      <c r="H6" s="5"/>
      <c r="I6" s="5"/>
      <c r="J6" s="5"/>
      <c r="K6" s="5"/>
    </row>
    <row r="7" spans="1:11">
      <c r="A7" s="9" t="s">
        <v>15</v>
      </c>
      <c r="B7" s="9" t="s">
        <v>40</v>
      </c>
      <c r="C7" s="9">
        <v>130</v>
      </c>
      <c r="D7" s="9">
        <v>6800</v>
      </c>
      <c r="E7" s="5"/>
      <c r="F7" s="5"/>
      <c r="G7" s="5"/>
      <c r="H7" s="5"/>
      <c r="I7" s="5"/>
      <c r="J7" s="5"/>
      <c r="K7" s="5"/>
    </row>
    <row r="8" spans="1:11">
      <c r="A8" s="9" t="s">
        <v>16</v>
      </c>
      <c r="B8" s="9" t="s">
        <v>41</v>
      </c>
      <c r="C8" s="9">
        <v>45</v>
      </c>
      <c r="D8" s="9">
        <v>6800</v>
      </c>
      <c r="E8" s="5"/>
      <c r="F8" s="5"/>
      <c r="G8" s="5"/>
      <c r="H8" s="5"/>
      <c r="I8" s="5"/>
      <c r="J8" s="5"/>
      <c r="K8" s="5"/>
    </row>
    <row r="9" spans="1:11">
      <c r="A9" s="9" t="s">
        <v>17</v>
      </c>
      <c r="B9" s="9" t="s">
        <v>42</v>
      </c>
      <c r="C9" s="9">
        <v>160</v>
      </c>
      <c r="D9" s="9">
        <v>6800</v>
      </c>
      <c r="E9" s="5"/>
      <c r="F9" s="5"/>
      <c r="G9" s="5"/>
      <c r="H9" s="5"/>
      <c r="I9" s="5"/>
      <c r="J9" s="5"/>
      <c r="K9" s="5"/>
    </row>
    <row r="10" spans="1:11">
      <c r="A10" s="9" t="s">
        <v>18</v>
      </c>
      <c r="B10" s="9" t="s">
        <v>43</v>
      </c>
      <c r="C10" s="9">
        <v>220</v>
      </c>
      <c r="D10" s="9">
        <v>6800</v>
      </c>
      <c r="E10" s="5"/>
      <c r="F10" s="5"/>
      <c r="G10" s="5"/>
      <c r="H10" s="5"/>
      <c r="I10" s="5"/>
      <c r="J10" s="5"/>
      <c r="K10" s="5"/>
    </row>
    <row r="11" spans="1:11">
      <c r="A11" s="9" t="s">
        <v>19</v>
      </c>
      <c r="B11" s="9" t="s">
        <v>44</v>
      </c>
      <c r="C11" s="9">
        <v>95</v>
      </c>
      <c r="D11" s="9">
        <v>6800</v>
      </c>
      <c r="E11" s="5"/>
      <c r="F11" s="5"/>
      <c r="G11" s="5"/>
      <c r="H11" s="5"/>
      <c r="I11" s="5"/>
      <c r="J11" s="5"/>
      <c r="K11" s="5"/>
    </row>
    <row r="12" spans="1:1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</sheetData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1"/>
  <sheetViews>
    <sheetView topLeftCell="F1" workbookViewId="0">
      <selection activeCell="G2" sqref="G2"/>
    </sheetView>
  </sheetViews>
  <sheetFormatPr defaultColWidth="9" defaultRowHeight="15"/>
  <cols>
    <col min="1" max="1" width="11" customWidth="1"/>
    <col min="2" max="2" width="12" customWidth="1"/>
    <col min="3" max="3" width="13" customWidth="1"/>
    <col min="4" max="4" width="10" customWidth="1"/>
    <col min="5" max="5" width="77" customWidth="1"/>
    <col min="6" max="7" width="61" customWidth="1"/>
    <col min="8" max="8" width="12" customWidth="1"/>
    <col min="9" max="9" width="81" customWidth="1"/>
    <col min="10" max="10" width="15" customWidth="1"/>
    <col min="11" max="11" width="18" customWidth="1"/>
    <col min="12" max="12" width="25" customWidth="1"/>
  </cols>
  <sheetData>
    <row r="1" spans="1:12">
      <c r="A1" s="1" t="s">
        <v>45</v>
      </c>
      <c r="B1" s="1" t="s">
        <v>46</v>
      </c>
      <c r="C1" s="1" t="s">
        <v>27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16</v>
      </c>
      <c r="D2" t="s">
        <v>32</v>
      </c>
      <c r="E2" t="str">
        <f>IFERROR(VLOOKUP(C2,'2_Master_Data'!$A:$D,2,FALSE),"Tidak Ditemukan")</f>
        <v>Sukabumi</v>
      </c>
      <c r="F2">
        <f>IFERROR(VLOOKUP(C2,'2_Master_Data'!$A:$D,3,FALSE),0)</f>
        <v>45</v>
      </c>
      <c r="G2" s="2">
        <f>IFERROR(VLOOKUP(C2,'2_Master_Data'!$A:$D,4,FALSE),0)</f>
        <v>6800</v>
      </c>
      <c r="H2" s="2">
        <f t="shared" ref="H2:H65" si="0">F2*G2</f>
        <v>306000</v>
      </c>
      <c r="I2" t="str">
        <f>IFERROR(HLOOKUP(D2,'2_Master_Data'!$H$2:$Z$3,2,FALSE),"Tidak Ditemukan")</f>
        <v>On-Time (Tepat Waktu)</v>
      </c>
      <c r="J2" s="3">
        <v>4730</v>
      </c>
      <c r="K2" t="str">
        <f t="shared" ref="K2:K65" si="1">IF(F2&gt;100,"Jarak Jauh","Jarak Dekat")</f>
        <v>Jarak Dekat</v>
      </c>
      <c r="L2" s="2">
        <f t="shared" ref="L2:L65" si="2">IF(I2="On-Time (Tepat Waktu)",50000,IF(I2="Late (Terlambat)",-20000,IF(I2="Failed (Gagal Kirim)",-50000,0)))</f>
        <v>50000</v>
      </c>
    </row>
    <row r="3" spans="1:12">
      <c r="A3" t="s">
        <v>58</v>
      </c>
      <c r="B3" t="s">
        <v>59</v>
      </c>
      <c r="C3" t="s">
        <v>12</v>
      </c>
      <c r="D3" t="s">
        <v>33</v>
      </c>
      <c r="E3" t="str">
        <f>IFERROR(VLOOKUP(C3,'2_Master_Data'!$A:$D,2,FALSE),"Tidak Ditemukan")</f>
        <v>Bukittinggi</v>
      </c>
      <c r="F3">
        <f>IFERROR(VLOOKUP(C3,'2_Master_Data'!$A:$D,3,FALSE),0)</f>
        <v>1200</v>
      </c>
      <c r="G3" s="2">
        <f>IFERROR(VLOOKUP(C3,'2_Master_Data'!$A:$D,4,FALSE),0)</f>
        <v>6800</v>
      </c>
      <c r="H3" s="2">
        <f t="shared" si="0"/>
        <v>8160000</v>
      </c>
      <c r="I3" t="str">
        <f>IFERROR(HLOOKUP(D3,'2_Master_Data'!$H$2:$Z$3,2,FALSE),"Tidak Ditemukan")</f>
        <v>Late (Terlambat)</v>
      </c>
      <c r="J3" s="3">
        <v>4783</v>
      </c>
      <c r="K3" t="str">
        <f t="shared" si="1"/>
        <v>Jarak Jauh</v>
      </c>
      <c r="L3" s="2">
        <f t="shared" si="2"/>
        <v>-20000</v>
      </c>
    </row>
    <row r="4" spans="1:12">
      <c r="A4" t="s">
        <v>60</v>
      </c>
      <c r="B4" t="s">
        <v>61</v>
      </c>
      <c r="C4" t="s">
        <v>12</v>
      </c>
      <c r="D4" t="s">
        <v>32</v>
      </c>
      <c r="E4" t="str">
        <f>IFERROR(VLOOKUP(C4,'2_Master_Data'!$A:$D,2,FALSE),"Tidak Ditemukan")</f>
        <v>Bukittinggi</v>
      </c>
      <c r="F4">
        <f>IFERROR(VLOOKUP(C4,'2_Master_Data'!$A:$D,3,FALSE),0)</f>
        <v>1200</v>
      </c>
      <c r="G4" s="2">
        <f>IFERROR(VLOOKUP(C4,'2_Master_Data'!$A:$D,4,FALSE),0)</f>
        <v>6800</v>
      </c>
      <c r="H4" s="2">
        <f t="shared" si="0"/>
        <v>8160000</v>
      </c>
      <c r="I4" t="str">
        <f>IFERROR(HLOOKUP(D4,'2_Master_Data'!$H$2:$Z$3,2,FALSE),"Tidak Ditemukan")</f>
        <v>On-Time (Tepat Waktu)</v>
      </c>
      <c r="J4" s="3">
        <v>5205</v>
      </c>
      <c r="K4" t="str">
        <f t="shared" si="1"/>
        <v>Jarak Jauh</v>
      </c>
      <c r="L4" s="2">
        <f t="shared" si="2"/>
        <v>50000</v>
      </c>
    </row>
    <row r="5" spans="1:12">
      <c r="A5" t="s">
        <v>62</v>
      </c>
      <c r="B5" t="s">
        <v>63</v>
      </c>
      <c r="C5" t="s">
        <v>17</v>
      </c>
      <c r="D5" t="s">
        <v>32</v>
      </c>
      <c r="E5" t="str">
        <f>IFERROR(VLOOKUP(C5,'2_Master_Data'!$A:$D,2,FALSE),"Tidak Ditemukan")</f>
        <v>Tasikmalaya</v>
      </c>
      <c r="F5">
        <f>IFERROR(VLOOKUP(C5,'2_Master_Data'!$A:$D,3,FALSE),0)</f>
        <v>160</v>
      </c>
      <c r="G5" s="2">
        <f>IFERROR(VLOOKUP(C5,'2_Master_Data'!$A:$D,4,FALSE),0)</f>
        <v>6800</v>
      </c>
      <c r="H5" s="2">
        <f t="shared" si="0"/>
        <v>1088000</v>
      </c>
      <c r="I5" t="str">
        <f>IFERROR(HLOOKUP(D5,'2_Master_Data'!$H$2:$Z$3,2,FALSE),"Tidak Ditemukan")</f>
        <v>On-Time (Tepat Waktu)</v>
      </c>
      <c r="J5" s="3">
        <v>1518</v>
      </c>
      <c r="K5" t="str">
        <f t="shared" si="1"/>
        <v>Jarak Jauh</v>
      </c>
      <c r="L5" s="2">
        <f t="shared" si="2"/>
        <v>50000</v>
      </c>
    </row>
    <row r="6" spans="1:12">
      <c r="A6" t="s">
        <v>64</v>
      </c>
      <c r="B6" t="s">
        <v>65</v>
      </c>
      <c r="C6" t="s">
        <v>16</v>
      </c>
      <c r="D6" t="s">
        <v>32</v>
      </c>
      <c r="E6" t="str">
        <f>IFERROR(VLOOKUP(C6,'2_Master_Data'!$A:$D,2,FALSE),"Tidak Ditemukan")</f>
        <v>Sukabumi</v>
      </c>
      <c r="F6">
        <f>IFERROR(VLOOKUP(C6,'2_Master_Data'!$A:$D,3,FALSE),0)</f>
        <v>45</v>
      </c>
      <c r="G6" s="2">
        <f>IFERROR(VLOOKUP(C6,'2_Master_Data'!$A:$D,4,FALSE),0)</f>
        <v>6800</v>
      </c>
      <c r="H6" s="2">
        <f t="shared" si="0"/>
        <v>306000</v>
      </c>
      <c r="I6" t="str">
        <f>IFERROR(HLOOKUP(D6,'2_Master_Data'!$H$2:$Z$3,2,FALSE),"Tidak Ditemukan")</f>
        <v>On-Time (Tepat Waktu)</v>
      </c>
      <c r="J6" s="3">
        <v>7403</v>
      </c>
      <c r="K6" t="str">
        <f t="shared" si="1"/>
        <v>Jarak Dekat</v>
      </c>
      <c r="L6" s="2">
        <f t="shared" si="2"/>
        <v>50000</v>
      </c>
    </row>
    <row r="7" spans="1:12">
      <c r="A7" t="s">
        <v>66</v>
      </c>
      <c r="B7" t="s">
        <v>67</v>
      </c>
      <c r="C7" t="s">
        <v>12</v>
      </c>
      <c r="D7" t="s">
        <v>33</v>
      </c>
      <c r="E7" t="str">
        <f>IFERROR(VLOOKUP(C7,'2_Master_Data'!$A:$D,2,FALSE),"Tidak Ditemukan")</f>
        <v>Bukittinggi</v>
      </c>
      <c r="F7">
        <f>IFERROR(VLOOKUP(C7,'2_Master_Data'!$A:$D,3,FALSE),0)</f>
        <v>1200</v>
      </c>
      <c r="G7" s="2">
        <f>IFERROR(VLOOKUP(C7,'2_Master_Data'!$A:$D,4,FALSE),0)</f>
        <v>6800</v>
      </c>
      <c r="H7" s="2">
        <f t="shared" si="0"/>
        <v>8160000</v>
      </c>
      <c r="I7" t="str">
        <f>IFERROR(HLOOKUP(D7,'2_Master_Data'!$H$2:$Z$3,2,FALSE),"Tidak Ditemukan")</f>
        <v>Late (Terlambat)</v>
      </c>
      <c r="J7" s="3">
        <v>3759</v>
      </c>
      <c r="K7" t="str">
        <f t="shared" si="1"/>
        <v>Jarak Jauh</v>
      </c>
      <c r="L7" s="2">
        <f t="shared" si="2"/>
        <v>-20000</v>
      </c>
    </row>
    <row r="8" spans="1:12">
      <c r="A8" t="s">
        <v>68</v>
      </c>
      <c r="B8" t="s">
        <v>69</v>
      </c>
      <c r="C8" t="s">
        <v>12</v>
      </c>
      <c r="D8" t="s">
        <v>32</v>
      </c>
      <c r="E8" t="str">
        <f>IFERROR(VLOOKUP(C8,'2_Master_Data'!$A:$D,2,FALSE),"Tidak Ditemukan")</f>
        <v>Bukittinggi</v>
      </c>
      <c r="F8">
        <f>IFERROR(VLOOKUP(C8,'2_Master_Data'!$A:$D,3,FALSE),0)</f>
        <v>1200</v>
      </c>
      <c r="G8" s="2">
        <f>IFERROR(VLOOKUP(C8,'2_Master_Data'!$A:$D,4,FALSE),0)</f>
        <v>6800</v>
      </c>
      <c r="H8" s="2">
        <f t="shared" si="0"/>
        <v>8160000</v>
      </c>
      <c r="I8" t="str">
        <f>IFERROR(HLOOKUP(D8,'2_Master_Data'!$H$2:$Z$3,2,FALSE),"Tidak Ditemukan")</f>
        <v>On-Time (Tepat Waktu)</v>
      </c>
      <c r="J8" s="3">
        <v>3075</v>
      </c>
      <c r="K8" t="str">
        <f t="shared" si="1"/>
        <v>Jarak Jauh</v>
      </c>
      <c r="L8" s="2">
        <f t="shared" si="2"/>
        <v>50000</v>
      </c>
    </row>
    <row r="9" spans="1:12">
      <c r="A9" t="s">
        <v>70</v>
      </c>
      <c r="B9" t="s">
        <v>71</v>
      </c>
      <c r="C9" t="s">
        <v>15</v>
      </c>
      <c r="D9" t="s">
        <v>32</v>
      </c>
      <c r="E9" t="str">
        <f>IFERROR(VLOOKUP(C9,'2_Master_Data'!$A:$D,2,FALSE),"Tidak Ditemukan")</f>
        <v>Garut</v>
      </c>
      <c r="F9">
        <f>IFERROR(VLOOKUP(C9,'2_Master_Data'!$A:$D,3,FALSE),0)</f>
        <v>130</v>
      </c>
      <c r="G9" s="2">
        <f>IFERROR(VLOOKUP(C9,'2_Master_Data'!$A:$D,4,FALSE),0)</f>
        <v>6800</v>
      </c>
      <c r="H9" s="2">
        <f t="shared" si="0"/>
        <v>884000</v>
      </c>
      <c r="I9" t="str">
        <f>IFERROR(HLOOKUP(D9,'2_Master_Data'!$H$2:$Z$3,2,FALSE),"Tidak Ditemukan")</f>
        <v>On-Time (Tepat Waktu)</v>
      </c>
      <c r="J9" s="3">
        <v>5101</v>
      </c>
      <c r="K9" t="str">
        <f t="shared" si="1"/>
        <v>Jarak Jauh</v>
      </c>
      <c r="L9" s="2">
        <f t="shared" si="2"/>
        <v>50000</v>
      </c>
    </row>
    <row r="10" spans="1:12">
      <c r="A10" t="s">
        <v>72</v>
      </c>
      <c r="B10" t="s">
        <v>73</v>
      </c>
      <c r="C10" t="s">
        <v>15</v>
      </c>
      <c r="D10" t="s">
        <v>32</v>
      </c>
      <c r="E10" t="str">
        <f>IFERROR(VLOOKUP(C10,'2_Master_Data'!$A:$D,2,FALSE),"Tidak Ditemukan")</f>
        <v>Garut</v>
      </c>
      <c r="F10">
        <f>IFERROR(VLOOKUP(C10,'2_Master_Data'!$A:$D,3,FALSE),0)</f>
        <v>130</v>
      </c>
      <c r="G10" s="2">
        <f>IFERROR(VLOOKUP(C10,'2_Master_Data'!$A:$D,4,FALSE),0)</f>
        <v>6800</v>
      </c>
      <c r="H10" s="2">
        <f t="shared" si="0"/>
        <v>884000</v>
      </c>
      <c r="I10" t="str">
        <f>IFERROR(HLOOKUP(D10,'2_Master_Data'!$H$2:$Z$3,2,FALSE),"Tidak Ditemukan")</f>
        <v>On-Time (Tepat Waktu)</v>
      </c>
      <c r="J10" s="3">
        <v>4410</v>
      </c>
      <c r="K10" t="str">
        <f t="shared" si="1"/>
        <v>Jarak Jauh</v>
      </c>
      <c r="L10" s="2">
        <f t="shared" si="2"/>
        <v>50000</v>
      </c>
    </row>
    <row r="11" spans="1:12">
      <c r="A11" t="s">
        <v>74</v>
      </c>
      <c r="B11" t="s">
        <v>75</v>
      </c>
      <c r="C11" t="s">
        <v>14</v>
      </c>
      <c r="D11" t="s">
        <v>32</v>
      </c>
      <c r="E11" t="str">
        <f>IFERROR(VLOOKUP(C11,'2_Master_Data'!$A:$D,2,FALSE),"Tidak Ditemukan")</f>
        <v>Jakarta</v>
      </c>
      <c r="F11">
        <f>IFERROR(VLOOKUP(C11,'2_Master_Data'!$A:$D,3,FALSE),0)</f>
        <v>110</v>
      </c>
      <c r="G11" s="2">
        <f>IFERROR(VLOOKUP(C11,'2_Master_Data'!$A:$D,4,FALSE),0)</f>
        <v>6800</v>
      </c>
      <c r="H11" s="2">
        <f t="shared" si="0"/>
        <v>748000</v>
      </c>
      <c r="I11" t="str">
        <f>IFERROR(HLOOKUP(D11,'2_Master_Data'!$H$2:$Z$3,2,FALSE),"Tidak Ditemukan")</f>
        <v>On-Time (Tepat Waktu)</v>
      </c>
      <c r="J11" s="3">
        <v>2009</v>
      </c>
      <c r="K11" t="str">
        <f t="shared" si="1"/>
        <v>Jarak Jauh</v>
      </c>
      <c r="L11" s="2">
        <f t="shared" si="2"/>
        <v>50000</v>
      </c>
    </row>
    <row r="12" spans="1:12">
      <c r="A12" t="s">
        <v>76</v>
      </c>
      <c r="B12" t="s">
        <v>77</v>
      </c>
      <c r="C12" t="s">
        <v>17</v>
      </c>
      <c r="D12" t="s">
        <v>32</v>
      </c>
      <c r="E12" t="str">
        <f>IFERROR(VLOOKUP(C12,'2_Master_Data'!$A:$D,2,FALSE),"Tidak Ditemukan")</f>
        <v>Tasikmalaya</v>
      </c>
      <c r="F12">
        <f>IFERROR(VLOOKUP(C12,'2_Master_Data'!$A:$D,3,FALSE),0)</f>
        <v>160</v>
      </c>
      <c r="G12" s="2">
        <f>IFERROR(VLOOKUP(C12,'2_Master_Data'!$A:$D,4,FALSE),0)</f>
        <v>6800</v>
      </c>
      <c r="H12" s="2">
        <f t="shared" si="0"/>
        <v>1088000</v>
      </c>
      <c r="I12" t="str">
        <f>IFERROR(HLOOKUP(D12,'2_Master_Data'!$H$2:$Z$3,2,FALSE),"Tidak Ditemukan")</f>
        <v>On-Time (Tepat Waktu)</v>
      </c>
      <c r="J12" s="3">
        <v>3220</v>
      </c>
      <c r="K12" t="str">
        <f t="shared" si="1"/>
        <v>Jarak Jauh</v>
      </c>
      <c r="L12" s="2">
        <f t="shared" si="2"/>
        <v>50000</v>
      </c>
    </row>
    <row r="13" spans="1:12">
      <c r="A13" t="s">
        <v>78</v>
      </c>
      <c r="B13" t="s">
        <v>79</v>
      </c>
      <c r="C13" t="s">
        <v>14</v>
      </c>
      <c r="D13" t="s">
        <v>32</v>
      </c>
      <c r="E13" t="str">
        <f>IFERROR(VLOOKUP(C13,'2_Master_Data'!$A:$D,2,FALSE),"Tidak Ditemukan")</f>
        <v>Jakarta</v>
      </c>
      <c r="F13">
        <f>IFERROR(VLOOKUP(C13,'2_Master_Data'!$A:$D,3,FALSE),0)</f>
        <v>110</v>
      </c>
      <c r="G13" s="2">
        <f>IFERROR(VLOOKUP(C13,'2_Master_Data'!$A:$D,4,FALSE),0)</f>
        <v>6800</v>
      </c>
      <c r="H13" s="2">
        <f t="shared" si="0"/>
        <v>748000</v>
      </c>
      <c r="I13" t="str">
        <f>IFERROR(HLOOKUP(D13,'2_Master_Data'!$H$2:$Z$3,2,FALSE),"Tidak Ditemukan")</f>
        <v>On-Time (Tepat Waktu)</v>
      </c>
      <c r="J13" s="3">
        <v>7687</v>
      </c>
      <c r="K13" t="str">
        <f t="shared" si="1"/>
        <v>Jarak Jauh</v>
      </c>
      <c r="L13" s="2">
        <f t="shared" si="2"/>
        <v>50000</v>
      </c>
    </row>
    <row r="14" spans="1:12">
      <c r="A14" t="s">
        <v>80</v>
      </c>
      <c r="B14" t="s">
        <v>81</v>
      </c>
      <c r="C14" t="s">
        <v>19</v>
      </c>
      <c r="D14" t="s">
        <v>32</v>
      </c>
      <c r="E14" t="str">
        <f>IFERROR(VLOOKUP(C14,'2_Master_Data'!$A:$D,2,FALSE),"Tidak Ditemukan")</f>
        <v>Purwakarta</v>
      </c>
      <c r="F14">
        <f>IFERROR(VLOOKUP(C14,'2_Master_Data'!$A:$D,3,FALSE),0)</f>
        <v>95</v>
      </c>
      <c r="G14" s="2">
        <f>IFERROR(VLOOKUP(C14,'2_Master_Data'!$A:$D,4,FALSE),0)</f>
        <v>6800</v>
      </c>
      <c r="H14" s="2">
        <f t="shared" si="0"/>
        <v>646000</v>
      </c>
      <c r="I14" t="str">
        <f>IFERROR(HLOOKUP(D14,'2_Master_Data'!$H$2:$Z$3,2,FALSE),"Tidak Ditemukan")</f>
        <v>On-Time (Tepat Waktu)</v>
      </c>
      <c r="J14" s="3">
        <v>1358</v>
      </c>
      <c r="K14" t="str">
        <f t="shared" si="1"/>
        <v>Jarak Dekat</v>
      </c>
      <c r="L14" s="2">
        <f t="shared" si="2"/>
        <v>50000</v>
      </c>
    </row>
    <row r="15" spans="1:12">
      <c r="A15" t="s">
        <v>82</v>
      </c>
      <c r="B15" t="s">
        <v>83</v>
      </c>
      <c r="C15" t="s">
        <v>12</v>
      </c>
      <c r="D15" t="s">
        <v>34</v>
      </c>
      <c r="E15" t="str">
        <f>IFERROR(VLOOKUP(C15,'2_Master_Data'!$A:$D,2,FALSE),"Tidak Ditemukan")</f>
        <v>Bukittinggi</v>
      </c>
      <c r="F15">
        <f>IFERROR(VLOOKUP(C15,'2_Master_Data'!$A:$D,3,FALSE),0)</f>
        <v>1200</v>
      </c>
      <c r="G15" s="2">
        <f>IFERROR(VLOOKUP(C15,'2_Master_Data'!$A:$D,4,FALSE),0)</f>
        <v>6800</v>
      </c>
      <c r="H15" s="2">
        <f t="shared" si="0"/>
        <v>8160000</v>
      </c>
      <c r="I15" t="str">
        <f>IFERROR(HLOOKUP(D15,'2_Master_Data'!$H$2:$Z$3,2,FALSE),"Tidak Ditemukan")</f>
        <v>Failed (Gagal Kirim)</v>
      </c>
      <c r="J15" s="3">
        <v>4971</v>
      </c>
      <c r="K15" t="str">
        <f t="shared" si="1"/>
        <v>Jarak Jauh</v>
      </c>
      <c r="L15" s="2">
        <f t="shared" si="2"/>
        <v>-50000</v>
      </c>
    </row>
    <row r="16" spans="1:12">
      <c r="A16" t="s">
        <v>84</v>
      </c>
      <c r="B16" t="s">
        <v>85</v>
      </c>
      <c r="C16" t="s">
        <v>12</v>
      </c>
      <c r="D16" t="s">
        <v>32</v>
      </c>
      <c r="E16" t="str">
        <f>IFERROR(VLOOKUP(C16,'2_Master_Data'!$A:$D,2,FALSE),"Tidak Ditemukan")</f>
        <v>Bukittinggi</v>
      </c>
      <c r="F16">
        <f>IFERROR(VLOOKUP(C16,'2_Master_Data'!$A:$D,3,FALSE),0)</f>
        <v>1200</v>
      </c>
      <c r="G16" s="2">
        <f>IFERROR(VLOOKUP(C16,'2_Master_Data'!$A:$D,4,FALSE),0)</f>
        <v>6800</v>
      </c>
      <c r="H16" s="2">
        <f t="shared" si="0"/>
        <v>8160000</v>
      </c>
      <c r="I16" t="str">
        <f>IFERROR(HLOOKUP(D16,'2_Master_Data'!$H$2:$Z$3,2,FALSE),"Tidak Ditemukan")</f>
        <v>On-Time (Tepat Waktu)</v>
      </c>
      <c r="J16" s="3">
        <v>4903</v>
      </c>
      <c r="K16" t="str">
        <f t="shared" si="1"/>
        <v>Jarak Jauh</v>
      </c>
      <c r="L16" s="2">
        <f t="shared" si="2"/>
        <v>50000</v>
      </c>
    </row>
    <row r="17" spans="1:12">
      <c r="A17" t="s">
        <v>86</v>
      </c>
      <c r="B17" t="s">
        <v>87</v>
      </c>
      <c r="C17" t="s">
        <v>12</v>
      </c>
      <c r="D17" t="s">
        <v>32</v>
      </c>
      <c r="E17" t="str">
        <f>IFERROR(VLOOKUP(C17,'2_Master_Data'!$A:$D,2,FALSE),"Tidak Ditemukan")</f>
        <v>Bukittinggi</v>
      </c>
      <c r="F17">
        <f>IFERROR(VLOOKUP(C17,'2_Master_Data'!$A:$D,3,FALSE),0)</f>
        <v>1200</v>
      </c>
      <c r="G17" s="2">
        <f>IFERROR(VLOOKUP(C17,'2_Master_Data'!$A:$D,4,FALSE),0)</f>
        <v>6800</v>
      </c>
      <c r="H17" s="2">
        <f t="shared" si="0"/>
        <v>8160000</v>
      </c>
      <c r="I17" t="str">
        <f>IFERROR(HLOOKUP(D17,'2_Master_Data'!$H$2:$Z$3,2,FALSE),"Tidak Ditemukan")</f>
        <v>On-Time (Tepat Waktu)</v>
      </c>
      <c r="J17" s="3">
        <v>6683</v>
      </c>
      <c r="K17" t="str">
        <f t="shared" si="1"/>
        <v>Jarak Jauh</v>
      </c>
      <c r="L17" s="2">
        <f t="shared" si="2"/>
        <v>50000</v>
      </c>
    </row>
    <row r="18" spans="1:12">
      <c r="A18" t="s">
        <v>88</v>
      </c>
      <c r="B18" t="s">
        <v>89</v>
      </c>
      <c r="C18" t="s">
        <v>11</v>
      </c>
      <c r="D18" t="s">
        <v>32</v>
      </c>
      <c r="E18" t="str">
        <f>IFERROR(VLOOKUP(C18,'2_Master_Data'!$A:$D,2,FALSE),"Tidak Ditemukan")</f>
        <v>Bandung</v>
      </c>
      <c r="F18">
        <f>IFERROR(VLOOKUP(C18,'2_Master_Data'!$A:$D,3,FALSE),0)</f>
        <v>65</v>
      </c>
      <c r="G18" s="2">
        <f>IFERROR(VLOOKUP(C18,'2_Master_Data'!$A:$D,4,FALSE),0)</f>
        <v>6800</v>
      </c>
      <c r="H18" s="2">
        <f t="shared" si="0"/>
        <v>442000</v>
      </c>
      <c r="I18" t="str">
        <f>IFERROR(HLOOKUP(D18,'2_Master_Data'!$H$2:$Z$3,2,FALSE),"Tidak Ditemukan")</f>
        <v>On-Time (Tepat Waktu)</v>
      </c>
      <c r="J18" s="3">
        <v>3082</v>
      </c>
      <c r="K18" t="str">
        <f t="shared" si="1"/>
        <v>Jarak Dekat</v>
      </c>
      <c r="L18" s="2">
        <f t="shared" si="2"/>
        <v>50000</v>
      </c>
    </row>
    <row r="19" spans="1:12">
      <c r="A19" t="s">
        <v>90</v>
      </c>
      <c r="B19" t="s">
        <v>87</v>
      </c>
      <c r="C19" t="s">
        <v>16</v>
      </c>
      <c r="D19" t="s">
        <v>32</v>
      </c>
      <c r="E19" t="str">
        <f>IFERROR(VLOOKUP(C19,'2_Master_Data'!$A:$D,2,FALSE),"Tidak Ditemukan")</f>
        <v>Sukabumi</v>
      </c>
      <c r="F19">
        <f>IFERROR(VLOOKUP(C19,'2_Master_Data'!$A:$D,3,FALSE),0)</f>
        <v>45</v>
      </c>
      <c r="G19" s="2">
        <f>IFERROR(VLOOKUP(C19,'2_Master_Data'!$A:$D,4,FALSE),0)</f>
        <v>6800</v>
      </c>
      <c r="H19" s="2">
        <f t="shared" si="0"/>
        <v>306000</v>
      </c>
      <c r="I19" t="str">
        <f>IFERROR(HLOOKUP(D19,'2_Master_Data'!$H$2:$Z$3,2,FALSE),"Tidak Ditemukan")</f>
        <v>On-Time (Tepat Waktu)</v>
      </c>
      <c r="J19" s="3">
        <v>3695</v>
      </c>
      <c r="K19" t="str">
        <f t="shared" si="1"/>
        <v>Jarak Dekat</v>
      </c>
      <c r="L19" s="2">
        <f t="shared" si="2"/>
        <v>50000</v>
      </c>
    </row>
    <row r="20" spans="1:12">
      <c r="A20" t="s">
        <v>91</v>
      </c>
      <c r="B20" t="s">
        <v>92</v>
      </c>
      <c r="C20" t="s">
        <v>16</v>
      </c>
      <c r="D20" t="s">
        <v>32</v>
      </c>
      <c r="E20" t="str">
        <f>IFERROR(VLOOKUP(C20,'2_Master_Data'!$A:$D,2,FALSE),"Tidak Ditemukan")</f>
        <v>Sukabumi</v>
      </c>
      <c r="F20">
        <f>IFERROR(VLOOKUP(C20,'2_Master_Data'!$A:$D,3,FALSE),0)</f>
        <v>45</v>
      </c>
      <c r="G20" s="2">
        <f>IFERROR(VLOOKUP(C20,'2_Master_Data'!$A:$D,4,FALSE),0)</f>
        <v>6800</v>
      </c>
      <c r="H20" s="2">
        <f t="shared" si="0"/>
        <v>306000</v>
      </c>
      <c r="I20" t="str">
        <f>IFERROR(HLOOKUP(D20,'2_Master_Data'!$H$2:$Z$3,2,FALSE),"Tidak Ditemukan")</f>
        <v>On-Time (Tepat Waktu)</v>
      </c>
      <c r="J20" s="3">
        <v>3939</v>
      </c>
      <c r="K20" t="str">
        <f t="shared" si="1"/>
        <v>Jarak Dekat</v>
      </c>
      <c r="L20" s="2">
        <f t="shared" si="2"/>
        <v>50000</v>
      </c>
    </row>
    <row r="21" spans="1:12">
      <c r="A21" t="s">
        <v>93</v>
      </c>
      <c r="B21" t="s">
        <v>94</v>
      </c>
      <c r="C21" t="s">
        <v>11</v>
      </c>
      <c r="D21" t="s">
        <v>32</v>
      </c>
      <c r="E21" t="str">
        <f>IFERROR(VLOOKUP(C21,'2_Master_Data'!$A:$D,2,FALSE),"Tidak Ditemukan")</f>
        <v>Bandung</v>
      </c>
      <c r="F21">
        <f>IFERROR(VLOOKUP(C21,'2_Master_Data'!$A:$D,3,FALSE),0)</f>
        <v>65</v>
      </c>
      <c r="G21" s="2">
        <f>IFERROR(VLOOKUP(C21,'2_Master_Data'!$A:$D,4,FALSE),0)</f>
        <v>6800</v>
      </c>
      <c r="H21" s="2">
        <f t="shared" si="0"/>
        <v>442000</v>
      </c>
      <c r="I21" t="str">
        <f>IFERROR(HLOOKUP(D21,'2_Master_Data'!$H$2:$Z$3,2,FALSE),"Tidak Ditemukan")</f>
        <v>On-Time (Tepat Waktu)</v>
      </c>
      <c r="J21" s="3">
        <v>4892</v>
      </c>
      <c r="K21" t="str">
        <f t="shared" si="1"/>
        <v>Jarak Dekat</v>
      </c>
      <c r="L21" s="2">
        <f t="shared" si="2"/>
        <v>50000</v>
      </c>
    </row>
    <row r="22" spans="1:12">
      <c r="A22" t="s">
        <v>95</v>
      </c>
      <c r="B22" t="s">
        <v>96</v>
      </c>
      <c r="C22" t="s">
        <v>16</v>
      </c>
      <c r="D22" t="s">
        <v>32</v>
      </c>
      <c r="E22" t="str">
        <f>IFERROR(VLOOKUP(C22,'2_Master_Data'!$A:$D,2,FALSE),"Tidak Ditemukan")</f>
        <v>Sukabumi</v>
      </c>
      <c r="F22">
        <f>IFERROR(VLOOKUP(C22,'2_Master_Data'!$A:$D,3,FALSE),0)</f>
        <v>45</v>
      </c>
      <c r="G22" s="2">
        <f>IFERROR(VLOOKUP(C22,'2_Master_Data'!$A:$D,4,FALSE),0)</f>
        <v>6800</v>
      </c>
      <c r="H22" s="2">
        <f t="shared" si="0"/>
        <v>306000</v>
      </c>
      <c r="I22" t="str">
        <f>IFERROR(HLOOKUP(D22,'2_Master_Data'!$H$2:$Z$3,2,FALSE),"Tidak Ditemukan")</f>
        <v>On-Time (Tepat Waktu)</v>
      </c>
      <c r="J22" s="3">
        <v>2735</v>
      </c>
      <c r="K22" t="str">
        <f t="shared" si="1"/>
        <v>Jarak Dekat</v>
      </c>
      <c r="L22" s="2">
        <f t="shared" si="2"/>
        <v>50000</v>
      </c>
    </row>
    <row r="23" spans="1:12">
      <c r="A23" t="s">
        <v>97</v>
      </c>
      <c r="B23" t="s">
        <v>98</v>
      </c>
      <c r="C23" t="s">
        <v>19</v>
      </c>
      <c r="D23" t="s">
        <v>33</v>
      </c>
      <c r="E23" t="str">
        <f>IFERROR(VLOOKUP(C23,'2_Master_Data'!$A:$D,2,FALSE),"Tidak Ditemukan")</f>
        <v>Purwakarta</v>
      </c>
      <c r="F23">
        <f>IFERROR(VLOOKUP(C23,'2_Master_Data'!$A:$D,3,FALSE),0)</f>
        <v>95</v>
      </c>
      <c r="G23" s="2">
        <f>IFERROR(VLOOKUP(C23,'2_Master_Data'!$A:$D,4,FALSE),0)</f>
        <v>6800</v>
      </c>
      <c r="H23" s="2">
        <f t="shared" si="0"/>
        <v>646000</v>
      </c>
      <c r="I23" t="str">
        <f>IFERROR(HLOOKUP(D23,'2_Master_Data'!$H$2:$Z$3,2,FALSE),"Tidak Ditemukan")</f>
        <v>Late (Terlambat)</v>
      </c>
      <c r="J23" s="3">
        <v>4416</v>
      </c>
      <c r="K23" t="str">
        <f t="shared" si="1"/>
        <v>Jarak Dekat</v>
      </c>
      <c r="L23" s="2">
        <f t="shared" si="2"/>
        <v>-20000</v>
      </c>
    </row>
    <row r="24" spans="1:12">
      <c r="A24" t="s">
        <v>99</v>
      </c>
      <c r="B24" t="s">
        <v>100</v>
      </c>
      <c r="C24" t="s">
        <v>18</v>
      </c>
      <c r="D24" t="s">
        <v>32</v>
      </c>
      <c r="E24" t="str">
        <f>IFERROR(VLOOKUP(C24,'2_Master_Data'!$A:$D,2,FALSE),"Tidak Ditemukan")</f>
        <v>Cirebon</v>
      </c>
      <c r="F24">
        <f>IFERROR(VLOOKUP(C24,'2_Master_Data'!$A:$D,3,FALSE),0)</f>
        <v>220</v>
      </c>
      <c r="G24" s="2">
        <f>IFERROR(VLOOKUP(C24,'2_Master_Data'!$A:$D,4,FALSE),0)</f>
        <v>6800</v>
      </c>
      <c r="H24" s="2">
        <f t="shared" si="0"/>
        <v>1496000</v>
      </c>
      <c r="I24" t="str">
        <f>IFERROR(HLOOKUP(D24,'2_Master_Data'!$H$2:$Z$3,2,FALSE),"Tidak Ditemukan")</f>
        <v>On-Time (Tepat Waktu)</v>
      </c>
      <c r="J24" s="3">
        <v>3393</v>
      </c>
      <c r="K24" t="str">
        <f t="shared" si="1"/>
        <v>Jarak Jauh</v>
      </c>
      <c r="L24" s="2">
        <f t="shared" si="2"/>
        <v>50000</v>
      </c>
    </row>
    <row r="25" spans="1:12">
      <c r="A25" t="s">
        <v>101</v>
      </c>
      <c r="B25" t="s">
        <v>102</v>
      </c>
      <c r="C25" t="s">
        <v>16</v>
      </c>
      <c r="D25" t="s">
        <v>34</v>
      </c>
      <c r="E25" t="str">
        <f>IFERROR(VLOOKUP(C25,'2_Master_Data'!$A:$D,2,FALSE),"Tidak Ditemukan")</f>
        <v>Sukabumi</v>
      </c>
      <c r="F25">
        <f>IFERROR(VLOOKUP(C25,'2_Master_Data'!$A:$D,3,FALSE),0)</f>
        <v>45</v>
      </c>
      <c r="G25" s="2">
        <f>IFERROR(VLOOKUP(C25,'2_Master_Data'!$A:$D,4,FALSE),0)</f>
        <v>6800</v>
      </c>
      <c r="H25" s="2">
        <f t="shared" si="0"/>
        <v>306000</v>
      </c>
      <c r="I25" t="str">
        <f>IFERROR(HLOOKUP(D25,'2_Master_Data'!$H$2:$Z$3,2,FALSE),"Tidak Ditemukan")</f>
        <v>Failed (Gagal Kirim)</v>
      </c>
      <c r="J25" s="3">
        <v>4258</v>
      </c>
      <c r="K25" t="str">
        <f t="shared" si="1"/>
        <v>Jarak Dekat</v>
      </c>
      <c r="L25" s="2">
        <f t="shared" si="2"/>
        <v>-50000</v>
      </c>
    </row>
    <row r="26" spans="1:12">
      <c r="A26" t="s">
        <v>103</v>
      </c>
      <c r="B26" t="s">
        <v>79</v>
      </c>
      <c r="C26" t="s">
        <v>19</v>
      </c>
      <c r="D26" t="s">
        <v>33</v>
      </c>
      <c r="E26" t="str">
        <f>IFERROR(VLOOKUP(C26,'2_Master_Data'!$A:$D,2,FALSE),"Tidak Ditemukan")</f>
        <v>Purwakarta</v>
      </c>
      <c r="F26">
        <f>IFERROR(VLOOKUP(C26,'2_Master_Data'!$A:$D,3,FALSE),0)</f>
        <v>95</v>
      </c>
      <c r="G26" s="2">
        <f>IFERROR(VLOOKUP(C26,'2_Master_Data'!$A:$D,4,FALSE),0)</f>
        <v>6800</v>
      </c>
      <c r="H26" s="2">
        <f t="shared" si="0"/>
        <v>646000</v>
      </c>
      <c r="I26" t="str">
        <f>IFERROR(HLOOKUP(D26,'2_Master_Data'!$H$2:$Z$3,2,FALSE),"Tidak Ditemukan")</f>
        <v>Late (Terlambat)</v>
      </c>
      <c r="J26" s="3">
        <v>5458</v>
      </c>
      <c r="K26" t="str">
        <f t="shared" si="1"/>
        <v>Jarak Dekat</v>
      </c>
      <c r="L26" s="2">
        <f t="shared" si="2"/>
        <v>-20000</v>
      </c>
    </row>
    <row r="27" spans="1:12">
      <c r="A27" t="s">
        <v>104</v>
      </c>
      <c r="B27" t="s">
        <v>100</v>
      </c>
      <c r="C27" t="s">
        <v>12</v>
      </c>
      <c r="D27" t="s">
        <v>32</v>
      </c>
      <c r="E27" t="str">
        <f>IFERROR(VLOOKUP(C27,'2_Master_Data'!$A:$D,2,FALSE),"Tidak Ditemukan")</f>
        <v>Bukittinggi</v>
      </c>
      <c r="F27">
        <f>IFERROR(VLOOKUP(C27,'2_Master_Data'!$A:$D,3,FALSE),0)</f>
        <v>1200</v>
      </c>
      <c r="G27" s="2">
        <f>IFERROR(VLOOKUP(C27,'2_Master_Data'!$A:$D,4,FALSE),0)</f>
        <v>6800</v>
      </c>
      <c r="H27" s="2">
        <f t="shared" si="0"/>
        <v>8160000</v>
      </c>
      <c r="I27" t="str">
        <f>IFERROR(HLOOKUP(D27,'2_Master_Data'!$H$2:$Z$3,2,FALSE),"Tidak Ditemukan")</f>
        <v>On-Time (Tepat Waktu)</v>
      </c>
      <c r="J27" s="3">
        <v>7915</v>
      </c>
      <c r="K27" t="str">
        <f t="shared" si="1"/>
        <v>Jarak Jauh</v>
      </c>
      <c r="L27" s="2">
        <f t="shared" si="2"/>
        <v>50000</v>
      </c>
    </row>
    <row r="28" spans="1:12">
      <c r="A28" t="s">
        <v>105</v>
      </c>
      <c r="B28" t="s">
        <v>75</v>
      </c>
      <c r="C28" t="s">
        <v>12</v>
      </c>
      <c r="D28" t="s">
        <v>32</v>
      </c>
      <c r="E28" t="str">
        <f>IFERROR(VLOOKUP(C28,'2_Master_Data'!$A:$D,2,FALSE),"Tidak Ditemukan")</f>
        <v>Bukittinggi</v>
      </c>
      <c r="F28">
        <f>IFERROR(VLOOKUP(C28,'2_Master_Data'!$A:$D,3,FALSE),0)</f>
        <v>1200</v>
      </c>
      <c r="G28" s="2">
        <f>IFERROR(VLOOKUP(C28,'2_Master_Data'!$A:$D,4,FALSE),0)</f>
        <v>6800</v>
      </c>
      <c r="H28" s="2">
        <f t="shared" si="0"/>
        <v>8160000</v>
      </c>
      <c r="I28" t="str">
        <f>IFERROR(HLOOKUP(D28,'2_Master_Data'!$H$2:$Z$3,2,FALSE),"Tidak Ditemukan")</f>
        <v>On-Time (Tepat Waktu)</v>
      </c>
      <c r="J28" s="3">
        <v>2622</v>
      </c>
      <c r="K28" t="str">
        <f t="shared" si="1"/>
        <v>Jarak Jauh</v>
      </c>
      <c r="L28" s="2">
        <f t="shared" si="2"/>
        <v>50000</v>
      </c>
    </row>
    <row r="29" spans="1:12">
      <c r="A29" t="s">
        <v>106</v>
      </c>
      <c r="B29" t="s">
        <v>107</v>
      </c>
      <c r="C29" t="s">
        <v>19</v>
      </c>
      <c r="D29" t="s">
        <v>32</v>
      </c>
      <c r="E29" t="str">
        <f>IFERROR(VLOOKUP(C29,'2_Master_Data'!$A:$D,2,FALSE),"Tidak Ditemukan")</f>
        <v>Purwakarta</v>
      </c>
      <c r="F29">
        <f>IFERROR(VLOOKUP(C29,'2_Master_Data'!$A:$D,3,FALSE),0)</f>
        <v>95</v>
      </c>
      <c r="G29" s="2">
        <f>IFERROR(VLOOKUP(C29,'2_Master_Data'!$A:$D,4,FALSE),0)</f>
        <v>6800</v>
      </c>
      <c r="H29" s="2">
        <f t="shared" si="0"/>
        <v>646000</v>
      </c>
      <c r="I29" t="str">
        <f>IFERROR(HLOOKUP(D29,'2_Master_Data'!$H$2:$Z$3,2,FALSE),"Tidak Ditemukan")</f>
        <v>On-Time (Tepat Waktu)</v>
      </c>
      <c r="J29" s="3">
        <v>1790</v>
      </c>
      <c r="K29" t="str">
        <f t="shared" si="1"/>
        <v>Jarak Dekat</v>
      </c>
      <c r="L29" s="2">
        <f t="shared" si="2"/>
        <v>50000</v>
      </c>
    </row>
    <row r="30" spans="1:12">
      <c r="A30" t="s">
        <v>108</v>
      </c>
      <c r="B30" t="s">
        <v>109</v>
      </c>
      <c r="C30" t="s">
        <v>11</v>
      </c>
      <c r="D30" t="s">
        <v>32</v>
      </c>
      <c r="E30" t="str">
        <f>IFERROR(VLOOKUP(C30,'2_Master_Data'!$A:$D,2,FALSE),"Tidak Ditemukan")</f>
        <v>Bandung</v>
      </c>
      <c r="F30">
        <f>IFERROR(VLOOKUP(C30,'2_Master_Data'!$A:$D,3,FALSE),0)</f>
        <v>65</v>
      </c>
      <c r="G30" s="2">
        <f>IFERROR(VLOOKUP(C30,'2_Master_Data'!$A:$D,4,FALSE),0)</f>
        <v>6800</v>
      </c>
      <c r="H30" s="2">
        <f t="shared" si="0"/>
        <v>442000</v>
      </c>
      <c r="I30" t="str">
        <f>IFERROR(HLOOKUP(D30,'2_Master_Data'!$H$2:$Z$3,2,FALSE),"Tidak Ditemukan")</f>
        <v>On-Time (Tepat Waktu)</v>
      </c>
      <c r="J30" s="3">
        <v>7650</v>
      </c>
      <c r="K30" t="str">
        <f t="shared" si="1"/>
        <v>Jarak Dekat</v>
      </c>
      <c r="L30" s="2">
        <f t="shared" si="2"/>
        <v>50000</v>
      </c>
    </row>
    <row r="31" spans="1:12">
      <c r="A31" t="s">
        <v>110</v>
      </c>
      <c r="B31" t="s">
        <v>75</v>
      </c>
      <c r="C31" t="s">
        <v>19</v>
      </c>
      <c r="D31" t="s">
        <v>32</v>
      </c>
      <c r="E31" t="str">
        <f>IFERROR(VLOOKUP(C31,'2_Master_Data'!$A:$D,2,FALSE),"Tidak Ditemukan")</f>
        <v>Purwakarta</v>
      </c>
      <c r="F31">
        <f>IFERROR(VLOOKUP(C31,'2_Master_Data'!$A:$D,3,FALSE),0)</f>
        <v>95</v>
      </c>
      <c r="G31" s="2">
        <f>IFERROR(VLOOKUP(C31,'2_Master_Data'!$A:$D,4,FALSE),0)</f>
        <v>6800</v>
      </c>
      <c r="H31" s="2">
        <f t="shared" si="0"/>
        <v>646000</v>
      </c>
      <c r="I31" t="str">
        <f>IFERROR(HLOOKUP(D31,'2_Master_Data'!$H$2:$Z$3,2,FALSE),"Tidak Ditemukan")</f>
        <v>On-Time (Tepat Waktu)</v>
      </c>
      <c r="J31" s="3">
        <v>4797</v>
      </c>
      <c r="K31" t="str">
        <f t="shared" si="1"/>
        <v>Jarak Dekat</v>
      </c>
      <c r="L31" s="2">
        <f t="shared" si="2"/>
        <v>50000</v>
      </c>
    </row>
    <row r="32" spans="1:12">
      <c r="A32" t="s">
        <v>111</v>
      </c>
      <c r="B32" t="s">
        <v>112</v>
      </c>
      <c r="C32" t="s">
        <v>15</v>
      </c>
      <c r="D32" t="s">
        <v>33</v>
      </c>
      <c r="E32" t="str">
        <f>IFERROR(VLOOKUP(C32,'2_Master_Data'!$A:$D,2,FALSE),"Tidak Ditemukan")</f>
        <v>Garut</v>
      </c>
      <c r="F32">
        <f>IFERROR(VLOOKUP(C32,'2_Master_Data'!$A:$D,3,FALSE),0)</f>
        <v>130</v>
      </c>
      <c r="G32" s="2">
        <f>IFERROR(VLOOKUP(C32,'2_Master_Data'!$A:$D,4,FALSE),0)</f>
        <v>6800</v>
      </c>
      <c r="H32" s="2">
        <f t="shared" si="0"/>
        <v>884000</v>
      </c>
      <c r="I32" t="str">
        <f>IFERROR(HLOOKUP(D32,'2_Master_Data'!$H$2:$Z$3,2,FALSE),"Tidak Ditemukan")</f>
        <v>Late (Terlambat)</v>
      </c>
      <c r="J32" s="3">
        <v>2654</v>
      </c>
      <c r="K32" t="str">
        <f t="shared" si="1"/>
        <v>Jarak Jauh</v>
      </c>
      <c r="L32" s="2">
        <f t="shared" si="2"/>
        <v>-20000</v>
      </c>
    </row>
    <row r="33" spans="1:12">
      <c r="A33" t="s">
        <v>113</v>
      </c>
      <c r="B33" t="s">
        <v>114</v>
      </c>
      <c r="C33" t="s">
        <v>17</v>
      </c>
      <c r="D33" t="s">
        <v>34</v>
      </c>
      <c r="E33" t="str">
        <f>IFERROR(VLOOKUP(C33,'2_Master_Data'!$A:$D,2,FALSE),"Tidak Ditemukan")</f>
        <v>Tasikmalaya</v>
      </c>
      <c r="F33">
        <f>IFERROR(VLOOKUP(C33,'2_Master_Data'!$A:$D,3,FALSE),0)</f>
        <v>160</v>
      </c>
      <c r="G33" s="2">
        <f>IFERROR(VLOOKUP(C33,'2_Master_Data'!$A:$D,4,FALSE),0)</f>
        <v>6800</v>
      </c>
      <c r="H33" s="2">
        <f t="shared" si="0"/>
        <v>1088000</v>
      </c>
      <c r="I33" t="str">
        <f>IFERROR(HLOOKUP(D33,'2_Master_Data'!$H$2:$Z$3,2,FALSE),"Tidak Ditemukan")</f>
        <v>Failed (Gagal Kirim)</v>
      </c>
      <c r="J33" s="3">
        <v>2776</v>
      </c>
      <c r="K33" t="str">
        <f t="shared" si="1"/>
        <v>Jarak Jauh</v>
      </c>
      <c r="L33" s="2">
        <f t="shared" si="2"/>
        <v>-50000</v>
      </c>
    </row>
    <row r="34" spans="1:12">
      <c r="A34" t="s">
        <v>115</v>
      </c>
      <c r="B34" t="s">
        <v>116</v>
      </c>
      <c r="C34" t="s">
        <v>16</v>
      </c>
      <c r="D34" t="s">
        <v>32</v>
      </c>
      <c r="E34" t="str">
        <f>IFERROR(VLOOKUP(C34,'2_Master_Data'!$A:$D,2,FALSE),"Tidak Ditemukan")</f>
        <v>Sukabumi</v>
      </c>
      <c r="F34">
        <f>IFERROR(VLOOKUP(C34,'2_Master_Data'!$A:$D,3,FALSE),0)</f>
        <v>45</v>
      </c>
      <c r="G34" s="2">
        <f>IFERROR(VLOOKUP(C34,'2_Master_Data'!$A:$D,4,FALSE),0)</f>
        <v>6800</v>
      </c>
      <c r="H34" s="2">
        <f t="shared" si="0"/>
        <v>306000</v>
      </c>
      <c r="I34" t="str">
        <f>IFERROR(HLOOKUP(D34,'2_Master_Data'!$H$2:$Z$3,2,FALSE),"Tidak Ditemukan")</f>
        <v>On-Time (Tepat Waktu)</v>
      </c>
      <c r="J34" s="3">
        <v>6197</v>
      </c>
      <c r="K34" t="str">
        <f t="shared" si="1"/>
        <v>Jarak Dekat</v>
      </c>
      <c r="L34" s="2">
        <f t="shared" si="2"/>
        <v>50000</v>
      </c>
    </row>
    <row r="35" spans="1:12">
      <c r="A35" t="s">
        <v>117</v>
      </c>
      <c r="B35" t="s">
        <v>118</v>
      </c>
      <c r="C35" t="s">
        <v>16</v>
      </c>
      <c r="D35" t="s">
        <v>33</v>
      </c>
      <c r="E35" t="str">
        <f>IFERROR(VLOOKUP(C35,'2_Master_Data'!$A:$D,2,FALSE),"Tidak Ditemukan")</f>
        <v>Sukabumi</v>
      </c>
      <c r="F35">
        <f>IFERROR(VLOOKUP(C35,'2_Master_Data'!$A:$D,3,FALSE),0)</f>
        <v>45</v>
      </c>
      <c r="G35" s="2">
        <f>IFERROR(VLOOKUP(C35,'2_Master_Data'!$A:$D,4,FALSE),0)</f>
        <v>6800</v>
      </c>
      <c r="H35" s="2">
        <f t="shared" si="0"/>
        <v>306000</v>
      </c>
      <c r="I35" t="str">
        <f>IFERROR(HLOOKUP(D35,'2_Master_Data'!$H$2:$Z$3,2,FALSE),"Tidak Ditemukan")</f>
        <v>Late (Terlambat)</v>
      </c>
      <c r="J35" s="3">
        <v>7660</v>
      </c>
      <c r="K35" t="str">
        <f t="shared" si="1"/>
        <v>Jarak Dekat</v>
      </c>
      <c r="L35" s="2">
        <f t="shared" si="2"/>
        <v>-20000</v>
      </c>
    </row>
    <row r="36" spans="1:12">
      <c r="A36" t="s">
        <v>119</v>
      </c>
      <c r="B36" t="s">
        <v>73</v>
      </c>
      <c r="C36" t="s">
        <v>18</v>
      </c>
      <c r="D36" t="s">
        <v>32</v>
      </c>
      <c r="E36" t="str">
        <f>IFERROR(VLOOKUP(C36,'2_Master_Data'!$A:$D,2,FALSE),"Tidak Ditemukan")</f>
        <v>Cirebon</v>
      </c>
      <c r="F36">
        <f>IFERROR(VLOOKUP(C36,'2_Master_Data'!$A:$D,3,FALSE),0)</f>
        <v>220</v>
      </c>
      <c r="G36" s="2">
        <f>IFERROR(VLOOKUP(C36,'2_Master_Data'!$A:$D,4,FALSE),0)</f>
        <v>6800</v>
      </c>
      <c r="H36" s="2">
        <f t="shared" si="0"/>
        <v>1496000</v>
      </c>
      <c r="I36" t="str">
        <f>IFERROR(HLOOKUP(D36,'2_Master_Data'!$H$2:$Z$3,2,FALSE),"Tidak Ditemukan")</f>
        <v>On-Time (Tepat Waktu)</v>
      </c>
      <c r="J36" s="3">
        <v>7265</v>
      </c>
      <c r="K36" t="str">
        <f t="shared" si="1"/>
        <v>Jarak Jauh</v>
      </c>
      <c r="L36" s="2">
        <f t="shared" si="2"/>
        <v>50000</v>
      </c>
    </row>
    <row r="37" spans="1:12">
      <c r="A37" t="s">
        <v>120</v>
      </c>
      <c r="B37" t="s">
        <v>65</v>
      </c>
      <c r="C37" t="s">
        <v>12</v>
      </c>
      <c r="D37" t="s">
        <v>32</v>
      </c>
      <c r="E37" t="str">
        <f>IFERROR(VLOOKUP(C37,'2_Master_Data'!$A:$D,2,FALSE),"Tidak Ditemukan")</f>
        <v>Bukittinggi</v>
      </c>
      <c r="F37">
        <f>IFERROR(VLOOKUP(C37,'2_Master_Data'!$A:$D,3,FALSE),0)</f>
        <v>1200</v>
      </c>
      <c r="G37" s="2">
        <f>IFERROR(VLOOKUP(C37,'2_Master_Data'!$A:$D,4,FALSE),0)</f>
        <v>6800</v>
      </c>
      <c r="H37" s="2">
        <f t="shared" si="0"/>
        <v>8160000</v>
      </c>
      <c r="I37" t="str">
        <f>IFERROR(HLOOKUP(D37,'2_Master_Data'!$H$2:$Z$3,2,FALSE),"Tidak Ditemukan")</f>
        <v>On-Time (Tepat Waktu)</v>
      </c>
      <c r="J37" s="3">
        <v>2585</v>
      </c>
      <c r="K37" t="str">
        <f t="shared" si="1"/>
        <v>Jarak Jauh</v>
      </c>
      <c r="L37" s="2">
        <f t="shared" si="2"/>
        <v>50000</v>
      </c>
    </row>
    <row r="38" spans="1:12">
      <c r="A38" t="s">
        <v>121</v>
      </c>
      <c r="B38" t="s">
        <v>122</v>
      </c>
      <c r="C38" t="s">
        <v>12</v>
      </c>
      <c r="D38" t="s">
        <v>32</v>
      </c>
      <c r="E38" t="str">
        <f>IFERROR(VLOOKUP(C38,'2_Master_Data'!$A:$D,2,FALSE),"Tidak Ditemukan")</f>
        <v>Bukittinggi</v>
      </c>
      <c r="F38">
        <f>IFERROR(VLOOKUP(C38,'2_Master_Data'!$A:$D,3,FALSE),0)</f>
        <v>1200</v>
      </c>
      <c r="G38" s="2">
        <f>IFERROR(VLOOKUP(C38,'2_Master_Data'!$A:$D,4,FALSE),0)</f>
        <v>6800</v>
      </c>
      <c r="H38" s="2">
        <f t="shared" si="0"/>
        <v>8160000</v>
      </c>
      <c r="I38" t="str">
        <f>IFERROR(HLOOKUP(D38,'2_Master_Data'!$H$2:$Z$3,2,FALSE),"Tidak Ditemukan")</f>
        <v>On-Time (Tepat Waktu)</v>
      </c>
      <c r="J38" s="3">
        <v>6137</v>
      </c>
      <c r="K38" t="str">
        <f t="shared" si="1"/>
        <v>Jarak Jauh</v>
      </c>
      <c r="L38" s="2">
        <f t="shared" si="2"/>
        <v>50000</v>
      </c>
    </row>
    <row r="39" spans="1:12">
      <c r="A39" t="s">
        <v>123</v>
      </c>
      <c r="B39" t="s">
        <v>124</v>
      </c>
      <c r="C39" t="s">
        <v>12</v>
      </c>
      <c r="D39" t="s">
        <v>34</v>
      </c>
      <c r="E39" t="str">
        <f>IFERROR(VLOOKUP(C39,'2_Master_Data'!$A:$D,2,FALSE),"Tidak Ditemukan")</f>
        <v>Bukittinggi</v>
      </c>
      <c r="F39">
        <f>IFERROR(VLOOKUP(C39,'2_Master_Data'!$A:$D,3,FALSE),0)</f>
        <v>1200</v>
      </c>
      <c r="G39" s="2">
        <f>IFERROR(VLOOKUP(C39,'2_Master_Data'!$A:$D,4,FALSE),0)</f>
        <v>6800</v>
      </c>
      <c r="H39" s="2">
        <f t="shared" si="0"/>
        <v>8160000</v>
      </c>
      <c r="I39" t="str">
        <f>IFERROR(HLOOKUP(D39,'2_Master_Data'!$H$2:$Z$3,2,FALSE),"Tidak Ditemukan")</f>
        <v>Failed (Gagal Kirim)</v>
      </c>
      <c r="J39" s="3">
        <v>5519</v>
      </c>
      <c r="K39" t="str">
        <f t="shared" si="1"/>
        <v>Jarak Jauh</v>
      </c>
      <c r="L39" s="2">
        <f t="shared" si="2"/>
        <v>-50000</v>
      </c>
    </row>
    <row r="40" spans="1:12">
      <c r="A40" t="s">
        <v>125</v>
      </c>
      <c r="B40" t="s">
        <v>126</v>
      </c>
      <c r="C40" t="s">
        <v>13</v>
      </c>
      <c r="D40" t="s">
        <v>32</v>
      </c>
      <c r="E40" t="str">
        <f>IFERROR(VLOOKUP(C40,'2_Master_Data'!$A:$D,2,FALSE),"Tidak Ditemukan")</f>
        <v>Bogor</v>
      </c>
      <c r="F40">
        <f>IFERROR(VLOOKUP(C40,'2_Master_Data'!$A:$D,3,FALSE),0)</f>
        <v>80</v>
      </c>
      <c r="G40" s="2">
        <f>IFERROR(VLOOKUP(C40,'2_Master_Data'!$A:$D,4,FALSE),0)</f>
        <v>6800</v>
      </c>
      <c r="H40" s="2">
        <f t="shared" si="0"/>
        <v>544000</v>
      </c>
      <c r="I40" t="str">
        <f>IFERROR(HLOOKUP(D40,'2_Master_Data'!$H$2:$Z$3,2,FALSE),"Tidak Ditemukan")</f>
        <v>On-Time (Tepat Waktu)</v>
      </c>
      <c r="J40" s="3">
        <v>5218</v>
      </c>
      <c r="K40" t="str">
        <f t="shared" si="1"/>
        <v>Jarak Dekat</v>
      </c>
      <c r="L40" s="2">
        <f t="shared" si="2"/>
        <v>50000</v>
      </c>
    </row>
    <row r="41" spans="1:12">
      <c r="A41" t="s">
        <v>127</v>
      </c>
      <c r="B41" t="s">
        <v>128</v>
      </c>
      <c r="C41" t="s">
        <v>11</v>
      </c>
      <c r="D41" t="s">
        <v>32</v>
      </c>
      <c r="E41" t="str">
        <f>IFERROR(VLOOKUP(C41,'2_Master_Data'!$A:$D,2,FALSE),"Tidak Ditemukan")</f>
        <v>Bandung</v>
      </c>
      <c r="F41">
        <f>IFERROR(VLOOKUP(C41,'2_Master_Data'!$A:$D,3,FALSE),0)</f>
        <v>65</v>
      </c>
      <c r="G41" s="2">
        <f>IFERROR(VLOOKUP(C41,'2_Master_Data'!$A:$D,4,FALSE),0)</f>
        <v>6800</v>
      </c>
      <c r="H41" s="2">
        <f t="shared" si="0"/>
        <v>442000</v>
      </c>
      <c r="I41" t="str">
        <f>IFERROR(HLOOKUP(D41,'2_Master_Data'!$H$2:$Z$3,2,FALSE),"Tidak Ditemukan")</f>
        <v>On-Time (Tepat Waktu)</v>
      </c>
      <c r="J41" s="3">
        <v>5183</v>
      </c>
      <c r="K41" t="str">
        <f t="shared" si="1"/>
        <v>Jarak Dekat</v>
      </c>
      <c r="L41" s="2">
        <f t="shared" si="2"/>
        <v>50000</v>
      </c>
    </row>
    <row r="42" spans="1:12">
      <c r="A42" t="s">
        <v>129</v>
      </c>
      <c r="B42" t="s">
        <v>67</v>
      </c>
      <c r="C42" t="s">
        <v>17</v>
      </c>
      <c r="D42" t="s">
        <v>32</v>
      </c>
      <c r="E42" t="str">
        <f>IFERROR(VLOOKUP(C42,'2_Master_Data'!$A:$D,2,FALSE),"Tidak Ditemukan")</f>
        <v>Tasikmalaya</v>
      </c>
      <c r="F42">
        <f>IFERROR(VLOOKUP(C42,'2_Master_Data'!$A:$D,3,FALSE),0)</f>
        <v>160</v>
      </c>
      <c r="G42" s="2">
        <f>IFERROR(VLOOKUP(C42,'2_Master_Data'!$A:$D,4,FALSE),0)</f>
        <v>6800</v>
      </c>
      <c r="H42" s="2">
        <f t="shared" si="0"/>
        <v>1088000</v>
      </c>
      <c r="I42" t="str">
        <f>IFERROR(HLOOKUP(D42,'2_Master_Data'!$H$2:$Z$3,2,FALSE),"Tidak Ditemukan")</f>
        <v>On-Time (Tepat Waktu)</v>
      </c>
      <c r="J42" s="3">
        <v>6198</v>
      </c>
      <c r="K42" t="str">
        <f t="shared" si="1"/>
        <v>Jarak Jauh</v>
      </c>
      <c r="L42" s="2">
        <f t="shared" si="2"/>
        <v>50000</v>
      </c>
    </row>
    <row r="43" spans="1:12">
      <c r="A43" t="s">
        <v>130</v>
      </c>
      <c r="B43" t="s">
        <v>81</v>
      </c>
      <c r="C43" t="s">
        <v>12</v>
      </c>
      <c r="D43" t="s">
        <v>32</v>
      </c>
      <c r="E43" t="str">
        <f>IFERROR(VLOOKUP(C43,'2_Master_Data'!$A:$D,2,FALSE),"Tidak Ditemukan")</f>
        <v>Bukittinggi</v>
      </c>
      <c r="F43">
        <f>IFERROR(VLOOKUP(C43,'2_Master_Data'!$A:$D,3,FALSE),0)</f>
        <v>1200</v>
      </c>
      <c r="G43" s="2">
        <f>IFERROR(VLOOKUP(C43,'2_Master_Data'!$A:$D,4,FALSE),0)</f>
        <v>6800</v>
      </c>
      <c r="H43" s="2">
        <f t="shared" si="0"/>
        <v>8160000</v>
      </c>
      <c r="I43" t="str">
        <f>IFERROR(HLOOKUP(D43,'2_Master_Data'!$H$2:$Z$3,2,FALSE),"Tidak Ditemukan")</f>
        <v>On-Time (Tepat Waktu)</v>
      </c>
      <c r="J43" s="3">
        <v>3170</v>
      </c>
      <c r="K43" t="str">
        <f t="shared" si="1"/>
        <v>Jarak Jauh</v>
      </c>
      <c r="L43" s="2">
        <f t="shared" si="2"/>
        <v>50000</v>
      </c>
    </row>
    <row r="44" spans="1:12">
      <c r="A44" t="s">
        <v>131</v>
      </c>
      <c r="B44" t="s">
        <v>132</v>
      </c>
      <c r="C44" t="s">
        <v>16</v>
      </c>
      <c r="D44" t="s">
        <v>32</v>
      </c>
      <c r="E44" t="str">
        <f>IFERROR(VLOOKUP(C44,'2_Master_Data'!$A:$D,2,FALSE),"Tidak Ditemukan")</f>
        <v>Sukabumi</v>
      </c>
      <c r="F44">
        <f>IFERROR(VLOOKUP(C44,'2_Master_Data'!$A:$D,3,FALSE),0)</f>
        <v>45</v>
      </c>
      <c r="G44" s="2">
        <f>IFERROR(VLOOKUP(C44,'2_Master_Data'!$A:$D,4,FALSE),0)</f>
        <v>6800</v>
      </c>
      <c r="H44" s="2">
        <f t="shared" si="0"/>
        <v>306000</v>
      </c>
      <c r="I44" t="str">
        <f>IFERROR(HLOOKUP(D44,'2_Master_Data'!$H$2:$Z$3,2,FALSE),"Tidak Ditemukan")</f>
        <v>On-Time (Tepat Waktu)</v>
      </c>
      <c r="J44" s="3">
        <v>7027</v>
      </c>
      <c r="K44" t="str">
        <f t="shared" si="1"/>
        <v>Jarak Dekat</v>
      </c>
      <c r="L44" s="2">
        <f t="shared" si="2"/>
        <v>50000</v>
      </c>
    </row>
    <row r="45" spans="1:12">
      <c r="A45" t="s">
        <v>133</v>
      </c>
      <c r="B45" t="s">
        <v>65</v>
      </c>
      <c r="C45" t="s">
        <v>11</v>
      </c>
      <c r="D45" t="s">
        <v>32</v>
      </c>
      <c r="E45" t="str">
        <f>IFERROR(VLOOKUP(C45,'2_Master_Data'!$A:$D,2,FALSE),"Tidak Ditemukan")</f>
        <v>Bandung</v>
      </c>
      <c r="F45">
        <f>IFERROR(VLOOKUP(C45,'2_Master_Data'!$A:$D,3,FALSE),0)</f>
        <v>65</v>
      </c>
      <c r="G45" s="2">
        <f>IFERROR(VLOOKUP(C45,'2_Master_Data'!$A:$D,4,FALSE),0)</f>
        <v>6800</v>
      </c>
      <c r="H45" s="2">
        <f t="shared" si="0"/>
        <v>442000</v>
      </c>
      <c r="I45" t="str">
        <f>IFERROR(HLOOKUP(D45,'2_Master_Data'!$H$2:$Z$3,2,FALSE),"Tidak Ditemukan")</f>
        <v>On-Time (Tepat Waktu)</v>
      </c>
      <c r="J45" s="3">
        <v>3434</v>
      </c>
      <c r="K45" t="str">
        <f t="shared" si="1"/>
        <v>Jarak Dekat</v>
      </c>
      <c r="L45" s="2">
        <f t="shared" si="2"/>
        <v>50000</v>
      </c>
    </row>
    <row r="46" spans="1:12">
      <c r="A46" t="s">
        <v>134</v>
      </c>
      <c r="B46" t="s">
        <v>135</v>
      </c>
      <c r="C46" t="s">
        <v>15</v>
      </c>
      <c r="D46" t="s">
        <v>34</v>
      </c>
      <c r="E46" t="str">
        <f>IFERROR(VLOOKUP(C46,'2_Master_Data'!$A:$D,2,FALSE),"Tidak Ditemukan")</f>
        <v>Garut</v>
      </c>
      <c r="F46">
        <f>IFERROR(VLOOKUP(C46,'2_Master_Data'!$A:$D,3,FALSE),0)</f>
        <v>130</v>
      </c>
      <c r="G46" s="2">
        <f>IFERROR(VLOOKUP(C46,'2_Master_Data'!$A:$D,4,FALSE),0)</f>
        <v>6800</v>
      </c>
      <c r="H46" s="2">
        <f t="shared" si="0"/>
        <v>884000</v>
      </c>
      <c r="I46" t="str">
        <f>IFERROR(HLOOKUP(D46,'2_Master_Data'!$H$2:$Z$3,2,FALSE),"Tidak Ditemukan")</f>
        <v>Failed (Gagal Kirim)</v>
      </c>
      <c r="J46" s="3">
        <v>1706</v>
      </c>
      <c r="K46" t="str">
        <f t="shared" si="1"/>
        <v>Jarak Jauh</v>
      </c>
      <c r="L46" s="2">
        <f t="shared" si="2"/>
        <v>-50000</v>
      </c>
    </row>
    <row r="47" spans="1:12">
      <c r="A47" t="s">
        <v>136</v>
      </c>
      <c r="B47" t="s">
        <v>81</v>
      </c>
      <c r="C47" t="s">
        <v>17</v>
      </c>
      <c r="D47" t="s">
        <v>32</v>
      </c>
      <c r="E47" t="str">
        <f>IFERROR(VLOOKUP(C47,'2_Master_Data'!$A:$D,2,FALSE),"Tidak Ditemukan")</f>
        <v>Tasikmalaya</v>
      </c>
      <c r="F47">
        <f>IFERROR(VLOOKUP(C47,'2_Master_Data'!$A:$D,3,FALSE),0)</f>
        <v>160</v>
      </c>
      <c r="G47" s="2">
        <f>IFERROR(VLOOKUP(C47,'2_Master_Data'!$A:$D,4,FALSE),0)</f>
        <v>6800</v>
      </c>
      <c r="H47" s="2">
        <f t="shared" si="0"/>
        <v>1088000</v>
      </c>
      <c r="I47" t="str">
        <f>IFERROR(HLOOKUP(D47,'2_Master_Data'!$H$2:$Z$3,2,FALSE),"Tidak Ditemukan")</f>
        <v>On-Time (Tepat Waktu)</v>
      </c>
      <c r="J47" s="3">
        <v>1076</v>
      </c>
      <c r="K47" t="str">
        <f t="shared" si="1"/>
        <v>Jarak Jauh</v>
      </c>
      <c r="L47" s="2">
        <f t="shared" si="2"/>
        <v>50000</v>
      </c>
    </row>
    <row r="48" spans="1:12">
      <c r="A48" t="s">
        <v>137</v>
      </c>
      <c r="B48" t="s">
        <v>138</v>
      </c>
      <c r="C48" t="s">
        <v>14</v>
      </c>
      <c r="D48" t="s">
        <v>32</v>
      </c>
      <c r="E48" t="str">
        <f>IFERROR(VLOOKUP(C48,'2_Master_Data'!$A:$D,2,FALSE),"Tidak Ditemukan")</f>
        <v>Jakarta</v>
      </c>
      <c r="F48">
        <f>IFERROR(VLOOKUP(C48,'2_Master_Data'!$A:$D,3,FALSE),0)</f>
        <v>110</v>
      </c>
      <c r="G48" s="2">
        <f>IFERROR(VLOOKUP(C48,'2_Master_Data'!$A:$D,4,FALSE),0)</f>
        <v>6800</v>
      </c>
      <c r="H48" s="2">
        <f t="shared" si="0"/>
        <v>748000</v>
      </c>
      <c r="I48" t="str">
        <f>IFERROR(HLOOKUP(D48,'2_Master_Data'!$H$2:$Z$3,2,FALSE),"Tidak Ditemukan")</f>
        <v>On-Time (Tepat Waktu)</v>
      </c>
      <c r="J48" s="3">
        <v>6708</v>
      </c>
      <c r="K48" t="str">
        <f t="shared" si="1"/>
        <v>Jarak Jauh</v>
      </c>
      <c r="L48" s="2">
        <f t="shared" si="2"/>
        <v>50000</v>
      </c>
    </row>
    <row r="49" spans="1:12">
      <c r="A49" t="s">
        <v>139</v>
      </c>
      <c r="B49" t="s">
        <v>98</v>
      </c>
      <c r="C49" t="s">
        <v>11</v>
      </c>
      <c r="D49" t="s">
        <v>32</v>
      </c>
      <c r="E49" t="str">
        <f>IFERROR(VLOOKUP(C49,'2_Master_Data'!$A:$D,2,FALSE),"Tidak Ditemukan")</f>
        <v>Bandung</v>
      </c>
      <c r="F49">
        <f>IFERROR(VLOOKUP(C49,'2_Master_Data'!$A:$D,3,FALSE),0)</f>
        <v>65</v>
      </c>
      <c r="G49" s="2">
        <f>IFERROR(VLOOKUP(C49,'2_Master_Data'!$A:$D,4,FALSE),0)</f>
        <v>6800</v>
      </c>
      <c r="H49" s="2">
        <f t="shared" si="0"/>
        <v>442000</v>
      </c>
      <c r="I49" t="str">
        <f>IFERROR(HLOOKUP(D49,'2_Master_Data'!$H$2:$Z$3,2,FALSE),"Tidak Ditemukan")</f>
        <v>On-Time (Tepat Waktu)</v>
      </c>
      <c r="J49" s="3">
        <v>4425</v>
      </c>
      <c r="K49" t="str">
        <f t="shared" si="1"/>
        <v>Jarak Dekat</v>
      </c>
      <c r="L49" s="2">
        <f t="shared" si="2"/>
        <v>50000</v>
      </c>
    </row>
    <row r="50" spans="1:12">
      <c r="A50" t="s">
        <v>140</v>
      </c>
      <c r="B50" t="s">
        <v>141</v>
      </c>
      <c r="C50" t="s">
        <v>17</v>
      </c>
      <c r="D50" t="s">
        <v>33</v>
      </c>
      <c r="E50" t="str">
        <f>IFERROR(VLOOKUP(C50,'2_Master_Data'!$A:$D,2,FALSE),"Tidak Ditemukan")</f>
        <v>Tasikmalaya</v>
      </c>
      <c r="F50">
        <f>IFERROR(VLOOKUP(C50,'2_Master_Data'!$A:$D,3,FALSE),0)</f>
        <v>160</v>
      </c>
      <c r="G50" s="2">
        <f>IFERROR(VLOOKUP(C50,'2_Master_Data'!$A:$D,4,FALSE),0)</f>
        <v>6800</v>
      </c>
      <c r="H50" s="2">
        <f t="shared" si="0"/>
        <v>1088000</v>
      </c>
      <c r="I50" t="str">
        <f>IFERROR(HLOOKUP(D50,'2_Master_Data'!$H$2:$Z$3,2,FALSE),"Tidak Ditemukan")</f>
        <v>Late (Terlambat)</v>
      </c>
      <c r="J50" s="3">
        <v>7073</v>
      </c>
      <c r="K50" t="str">
        <f t="shared" si="1"/>
        <v>Jarak Jauh</v>
      </c>
      <c r="L50" s="2">
        <f t="shared" si="2"/>
        <v>-20000</v>
      </c>
    </row>
    <row r="51" spans="1:12">
      <c r="A51" t="s">
        <v>142</v>
      </c>
      <c r="B51" t="s">
        <v>138</v>
      </c>
      <c r="C51" t="s">
        <v>14</v>
      </c>
      <c r="D51" t="s">
        <v>33</v>
      </c>
      <c r="E51" t="str">
        <f>IFERROR(VLOOKUP(C51,'2_Master_Data'!$A:$D,2,FALSE),"Tidak Ditemukan")</f>
        <v>Jakarta</v>
      </c>
      <c r="F51">
        <f>IFERROR(VLOOKUP(C51,'2_Master_Data'!$A:$D,3,FALSE),0)</f>
        <v>110</v>
      </c>
      <c r="G51" s="2">
        <f>IFERROR(VLOOKUP(C51,'2_Master_Data'!$A:$D,4,FALSE),0)</f>
        <v>6800</v>
      </c>
      <c r="H51" s="2">
        <f t="shared" si="0"/>
        <v>748000</v>
      </c>
      <c r="I51" t="str">
        <f>IFERROR(HLOOKUP(D51,'2_Master_Data'!$H$2:$Z$3,2,FALSE),"Tidak Ditemukan")</f>
        <v>Late (Terlambat)</v>
      </c>
      <c r="J51" s="3">
        <v>7729</v>
      </c>
      <c r="K51" t="str">
        <f t="shared" si="1"/>
        <v>Jarak Jauh</v>
      </c>
      <c r="L51" s="2">
        <f t="shared" si="2"/>
        <v>-20000</v>
      </c>
    </row>
    <row r="52" spans="1:12">
      <c r="A52" t="s">
        <v>143</v>
      </c>
      <c r="B52" t="s">
        <v>77</v>
      </c>
      <c r="C52" t="s">
        <v>16</v>
      </c>
      <c r="D52" t="s">
        <v>32</v>
      </c>
      <c r="E52" t="str">
        <f>IFERROR(VLOOKUP(C52,'2_Master_Data'!$A:$D,2,FALSE),"Tidak Ditemukan")</f>
        <v>Sukabumi</v>
      </c>
      <c r="F52">
        <f>IFERROR(VLOOKUP(C52,'2_Master_Data'!$A:$D,3,FALSE),0)</f>
        <v>45</v>
      </c>
      <c r="G52" s="2">
        <f>IFERROR(VLOOKUP(C52,'2_Master_Data'!$A:$D,4,FALSE),0)</f>
        <v>6800</v>
      </c>
      <c r="H52" s="2">
        <f t="shared" si="0"/>
        <v>306000</v>
      </c>
      <c r="I52" t="str">
        <f>IFERROR(HLOOKUP(D52,'2_Master_Data'!$H$2:$Z$3,2,FALSE),"Tidak Ditemukan")</f>
        <v>On-Time (Tepat Waktu)</v>
      </c>
      <c r="J52" s="3">
        <v>6625</v>
      </c>
      <c r="K52" t="str">
        <f t="shared" si="1"/>
        <v>Jarak Dekat</v>
      </c>
      <c r="L52" s="2">
        <f t="shared" si="2"/>
        <v>50000</v>
      </c>
    </row>
    <row r="53" spans="1:12">
      <c r="A53" t="s">
        <v>144</v>
      </c>
      <c r="B53" t="s">
        <v>145</v>
      </c>
      <c r="C53" t="s">
        <v>11</v>
      </c>
      <c r="D53" t="s">
        <v>32</v>
      </c>
      <c r="E53" t="str">
        <f>IFERROR(VLOOKUP(C53,'2_Master_Data'!$A:$D,2,FALSE),"Tidak Ditemukan")</f>
        <v>Bandung</v>
      </c>
      <c r="F53">
        <f>IFERROR(VLOOKUP(C53,'2_Master_Data'!$A:$D,3,FALSE),0)</f>
        <v>65</v>
      </c>
      <c r="G53" s="2">
        <f>IFERROR(VLOOKUP(C53,'2_Master_Data'!$A:$D,4,FALSE),0)</f>
        <v>6800</v>
      </c>
      <c r="H53" s="2">
        <f t="shared" si="0"/>
        <v>442000</v>
      </c>
      <c r="I53" t="str">
        <f>IFERROR(HLOOKUP(D53,'2_Master_Data'!$H$2:$Z$3,2,FALSE),"Tidak Ditemukan")</f>
        <v>On-Time (Tepat Waktu)</v>
      </c>
      <c r="J53" s="3">
        <v>3815</v>
      </c>
      <c r="K53" t="str">
        <f t="shared" si="1"/>
        <v>Jarak Dekat</v>
      </c>
      <c r="L53" s="2">
        <f t="shared" si="2"/>
        <v>50000</v>
      </c>
    </row>
    <row r="54" spans="1:12">
      <c r="A54" t="s">
        <v>146</v>
      </c>
      <c r="B54" t="s">
        <v>147</v>
      </c>
      <c r="C54" t="s">
        <v>11</v>
      </c>
      <c r="D54" t="s">
        <v>33</v>
      </c>
      <c r="E54" t="str">
        <f>IFERROR(VLOOKUP(C54,'2_Master_Data'!$A:$D,2,FALSE),"Tidak Ditemukan")</f>
        <v>Bandung</v>
      </c>
      <c r="F54">
        <f>IFERROR(VLOOKUP(C54,'2_Master_Data'!$A:$D,3,FALSE),0)</f>
        <v>65</v>
      </c>
      <c r="G54" s="2">
        <f>IFERROR(VLOOKUP(C54,'2_Master_Data'!$A:$D,4,FALSE),0)</f>
        <v>6800</v>
      </c>
      <c r="H54" s="2">
        <f t="shared" si="0"/>
        <v>442000</v>
      </c>
      <c r="I54" t="str">
        <f>IFERROR(HLOOKUP(D54,'2_Master_Data'!$H$2:$Z$3,2,FALSE),"Tidak Ditemukan")</f>
        <v>Late (Terlambat)</v>
      </c>
      <c r="J54" s="3">
        <v>1737</v>
      </c>
      <c r="K54" t="str">
        <f t="shared" si="1"/>
        <v>Jarak Dekat</v>
      </c>
      <c r="L54" s="2">
        <f t="shared" si="2"/>
        <v>-20000</v>
      </c>
    </row>
    <row r="55" spans="1:12">
      <c r="A55" t="s">
        <v>148</v>
      </c>
      <c r="B55" t="s">
        <v>94</v>
      </c>
      <c r="C55" t="s">
        <v>13</v>
      </c>
      <c r="D55" t="s">
        <v>32</v>
      </c>
      <c r="E55" t="str">
        <f>IFERROR(VLOOKUP(C55,'2_Master_Data'!$A:$D,2,FALSE),"Tidak Ditemukan")</f>
        <v>Bogor</v>
      </c>
      <c r="F55">
        <f>IFERROR(VLOOKUP(C55,'2_Master_Data'!$A:$D,3,FALSE),0)</f>
        <v>80</v>
      </c>
      <c r="G55" s="2">
        <f>IFERROR(VLOOKUP(C55,'2_Master_Data'!$A:$D,4,FALSE),0)</f>
        <v>6800</v>
      </c>
      <c r="H55" s="2">
        <f t="shared" si="0"/>
        <v>544000</v>
      </c>
      <c r="I55" t="str">
        <f>IFERROR(HLOOKUP(D55,'2_Master_Data'!$H$2:$Z$3,2,FALSE),"Tidak Ditemukan")</f>
        <v>On-Time (Tepat Waktu)</v>
      </c>
      <c r="J55" s="3">
        <v>6971</v>
      </c>
      <c r="K55" t="str">
        <f t="shared" si="1"/>
        <v>Jarak Dekat</v>
      </c>
      <c r="L55" s="2">
        <f t="shared" si="2"/>
        <v>50000</v>
      </c>
    </row>
    <row r="56" spans="1:12">
      <c r="A56" t="s">
        <v>149</v>
      </c>
      <c r="B56" t="s">
        <v>150</v>
      </c>
      <c r="C56" t="s">
        <v>13</v>
      </c>
      <c r="D56" t="s">
        <v>32</v>
      </c>
      <c r="E56" t="str">
        <f>IFERROR(VLOOKUP(C56,'2_Master_Data'!$A:$D,2,FALSE),"Tidak Ditemukan")</f>
        <v>Bogor</v>
      </c>
      <c r="F56">
        <f>IFERROR(VLOOKUP(C56,'2_Master_Data'!$A:$D,3,FALSE),0)</f>
        <v>80</v>
      </c>
      <c r="G56" s="2">
        <f>IFERROR(VLOOKUP(C56,'2_Master_Data'!$A:$D,4,FALSE),0)</f>
        <v>6800</v>
      </c>
      <c r="H56" s="2">
        <f t="shared" si="0"/>
        <v>544000</v>
      </c>
      <c r="I56" t="str">
        <f>IFERROR(HLOOKUP(D56,'2_Master_Data'!$H$2:$Z$3,2,FALSE),"Tidak Ditemukan")</f>
        <v>On-Time (Tepat Waktu)</v>
      </c>
      <c r="J56" s="3">
        <v>1025</v>
      </c>
      <c r="K56" t="str">
        <f t="shared" si="1"/>
        <v>Jarak Dekat</v>
      </c>
      <c r="L56" s="2">
        <f t="shared" si="2"/>
        <v>50000</v>
      </c>
    </row>
    <row r="57" spans="1:12">
      <c r="A57" t="s">
        <v>151</v>
      </c>
      <c r="B57" t="s">
        <v>152</v>
      </c>
      <c r="C57" t="s">
        <v>17</v>
      </c>
      <c r="D57" t="s">
        <v>34</v>
      </c>
      <c r="E57" t="str">
        <f>IFERROR(VLOOKUP(C57,'2_Master_Data'!$A:$D,2,FALSE),"Tidak Ditemukan")</f>
        <v>Tasikmalaya</v>
      </c>
      <c r="F57">
        <f>IFERROR(VLOOKUP(C57,'2_Master_Data'!$A:$D,3,FALSE),0)</f>
        <v>160</v>
      </c>
      <c r="G57" s="2">
        <f>IFERROR(VLOOKUP(C57,'2_Master_Data'!$A:$D,4,FALSE),0)</f>
        <v>6800</v>
      </c>
      <c r="H57" s="2">
        <f t="shared" si="0"/>
        <v>1088000</v>
      </c>
      <c r="I57" t="str">
        <f>IFERROR(HLOOKUP(D57,'2_Master_Data'!$H$2:$Z$3,2,FALSE),"Tidak Ditemukan")</f>
        <v>Failed (Gagal Kirim)</v>
      </c>
      <c r="J57" s="3">
        <v>5859</v>
      </c>
      <c r="K57" t="str">
        <f t="shared" si="1"/>
        <v>Jarak Jauh</v>
      </c>
      <c r="L57" s="2">
        <f t="shared" si="2"/>
        <v>-50000</v>
      </c>
    </row>
    <row r="58" spans="1:12">
      <c r="A58" t="s">
        <v>153</v>
      </c>
      <c r="B58" t="s">
        <v>154</v>
      </c>
      <c r="C58" t="s">
        <v>14</v>
      </c>
      <c r="D58" t="s">
        <v>32</v>
      </c>
      <c r="E58" t="str">
        <f>IFERROR(VLOOKUP(C58,'2_Master_Data'!$A:$D,2,FALSE),"Tidak Ditemukan")</f>
        <v>Jakarta</v>
      </c>
      <c r="F58">
        <f>IFERROR(VLOOKUP(C58,'2_Master_Data'!$A:$D,3,FALSE),0)</f>
        <v>110</v>
      </c>
      <c r="G58" s="2">
        <f>IFERROR(VLOOKUP(C58,'2_Master_Data'!$A:$D,4,FALSE),0)</f>
        <v>6800</v>
      </c>
      <c r="H58" s="2">
        <f t="shared" si="0"/>
        <v>748000</v>
      </c>
      <c r="I58" t="str">
        <f>IFERROR(HLOOKUP(D58,'2_Master_Data'!$H$2:$Z$3,2,FALSE),"Tidak Ditemukan")</f>
        <v>On-Time (Tepat Waktu)</v>
      </c>
      <c r="J58" s="3">
        <v>2705</v>
      </c>
      <c r="K58" t="str">
        <f t="shared" si="1"/>
        <v>Jarak Jauh</v>
      </c>
      <c r="L58" s="2">
        <f t="shared" si="2"/>
        <v>50000</v>
      </c>
    </row>
    <row r="59" spans="1:12">
      <c r="A59" t="s">
        <v>155</v>
      </c>
      <c r="B59" t="s">
        <v>154</v>
      </c>
      <c r="C59" t="s">
        <v>12</v>
      </c>
      <c r="D59" t="s">
        <v>32</v>
      </c>
      <c r="E59" t="str">
        <f>IFERROR(VLOOKUP(C59,'2_Master_Data'!$A:$D,2,FALSE),"Tidak Ditemukan")</f>
        <v>Bukittinggi</v>
      </c>
      <c r="F59">
        <f>IFERROR(VLOOKUP(C59,'2_Master_Data'!$A:$D,3,FALSE),0)</f>
        <v>1200</v>
      </c>
      <c r="G59" s="2">
        <f>IFERROR(VLOOKUP(C59,'2_Master_Data'!$A:$D,4,FALSE),0)</f>
        <v>6800</v>
      </c>
      <c r="H59" s="2">
        <f t="shared" si="0"/>
        <v>8160000</v>
      </c>
      <c r="I59" t="str">
        <f>IFERROR(HLOOKUP(D59,'2_Master_Data'!$H$2:$Z$3,2,FALSE),"Tidak Ditemukan")</f>
        <v>On-Time (Tepat Waktu)</v>
      </c>
      <c r="J59" s="3">
        <v>6837</v>
      </c>
      <c r="K59" t="str">
        <f t="shared" si="1"/>
        <v>Jarak Jauh</v>
      </c>
      <c r="L59" s="2">
        <f t="shared" si="2"/>
        <v>50000</v>
      </c>
    </row>
    <row r="60" spans="1:12">
      <c r="A60" t="s">
        <v>156</v>
      </c>
      <c r="B60" t="s">
        <v>81</v>
      </c>
      <c r="C60" t="s">
        <v>14</v>
      </c>
      <c r="D60" t="s">
        <v>33</v>
      </c>
      <c r="E60" t="str">
        <f>IFERROR(VLOOKUP(C60,'2_Master_Data'!$A:$D,2,FALSE),"Tidak Ditemukan")</f>
        <v>Jakarta</v>
      </c>
      <c r="F60">
        <f>IFERROR(VLOOKUP(C60,'2_Master_Data'!$A:$D,3,FALSE),0)</f>
        <v>110</v>
      </c>
      <c r="G60" s="2">
        <f>IFERROR(VLOOKUP(C60,'2_Master_Data'!$A:$D,4,FALSE),0)</f>
        <v>6800</v>
      </c>
      <c r="H60" s="2">
        <f t="shared" si="0"/>
        <v>748000</v>
      </c>
      <c r="I60" t="str">
        <f>IFERROR(HLOOKUP(D60,'2_Master_Data'!$H$2:$Z$3,2,FALSE),"Tidak Ditemukan")</f>
        <v>Late (Terlambat)</v>
      </c>
      <c r="J60" s="3">
        <v>3275</v>
      </c>
      <c r="K60" t="str">
        <f t="shared" si="1"/>
        <v>Jarak Jauh</v>
      </c>
      <c r="L60" s="2">
        <f t="shared" si="2"/>
        <v>-20000</v>
      </c>
    </row>
    <row r="61" spans="1:12">
      <c r="A61" t="s">
        <v>157</v>
      </c>
      <c r="B61" t="s">
        <v>158</v>
      </c>
      <c r="C61" t="s">
        <v>18</v>
      </c>
      <c r="D61" t="s">
        <v>34</v>
      </c>
      <c r="E61" t="str">
        <f>IFERROR(VLOOKUP(C61,'2_Master_Data'!$A:$D,2,FALSE),"Tidak Ditemukan")</f>
        <v>Cirebon</v>
      </c>
      <c r="F61">
        <f>IFERROR(VLOOKUP(C61,'2_Master_Data'!$A:$D,3,FALSE),0)</f>
        <v>220</v>
      </c>
      <c r="G61" s="2">
        <f>IFERROR(VLOOKUP(C61,'2_Master_Data'!$A:$D,4,FALSE),0)</f>
        <v>6800</v>
      </c>
      <c r="H61" s="2">
        <f t="shared" si="0"/>
        <v>1496000</v>
      </c>
      <c r="I61" t="str">
        <f>IFERROR(HLOOKUP(D61,'2_Master_Data'!$H$2:$Z$3,2,FALSE),"Tidak Ditemukan")</f>
        <v>Failed (Gagal Kirim)</v>
      </c>
      <c r="J61" s="3">
        <v>7695</v>
      </c>
      <c r="K61" t="str">
        <f t="shared" si="1"/>
        <v>Jarak Jauh</v>
      </c>
      <c r="L61" s="2">
        <f t="shared" si="2"/>
        <v>-50000</v>
      </c>
    </row>
    <row r="62" spans="1:12">
      <c r="A62" t="s">
        <v>159</v>
      </c>
      <c r="B62" t="s">
        <v>160</v>
      </c>
      <c r="C62" t="s">
        <v>13</v>
      </c>
      <c r="D62" t="s">
        <v>33</v>
      </c>
      <c r="E62" t="str">
        <f>IFERROR(VLOOKUP(C62,'2_Master_Data'!$A:$D,2,FALSE),"Tidak Ditemukan")</f>
        <v>Bogor</v>
      </c>
      <c r="F62">
        <f>IFERROR(VLOOKUP(C62,'2_Master_Data'!$A:$D,3,FALSE),0)</f>
        <v>80</v>
      </c>
      <c r="G62" s="2">
        <f>IFERROR(VLOOKUP(C62,'2_Master_Data'!$A:$D,4,FALSE),0)</f>
        <v>6800</v>
      </c>
      <c r="H62" s="2">
        <f t="shared" si="0"/>
        <v>544000</v>
      </c>
      <c r="I62" t="str">
        <f>IFERROR(HLOOKUP(D62,'2_Master_Data'!$H$2:$Z$3,2,FALSE),"Tidak Ditemukan")</f>
        <v>Late (Terlambat)</v>
      </c>
      <c r="J62" s="3">
        <v>6144</v>
      </c>
      <c r="K62" t="str">
        <f t="shared" si="1"/>
        <v>Jarak Dekat</v>
      </c>
      <c r="L62" s="2">
        <f t="shared" si="2"/>
        <v>-20000</v>
      </c>
    </row>
    <row r="63" spans="1:12">
      <c r="A63" t="s">
        <v>161</v>
      </c>
      <c r="B63" t="s">
        <v>128</v>
      </c>
      <c r="C63" t="s">
        <v>19</v>
      </c>
      <c r="D63" t="s">
        <v>34</v>
      </c>
      <c r="E63" t="str">
        <f>IFERROR(VLOOKUP(C63,'2_Master_Data'!$A:$D,2,FALSE),"Tidak Ditemukan")</f>
        <v>Purwakarta</v>
      </c>
      <c r="F63">
        <f>IFERROR(VLOOKUP(C63,'2_Master_Data'!$A:$D,3,FALSE),0)</f>
        <v>95</v>
      </c>
      <c r="G63" s="2">
        <f>IFERROR(VLOOKUP(C63,'2_Master_Data'!$A:$D,4,FALSE),0)</f>
        <v>6800</v>
      </c>
      <c r="H63" s="2">
        <f t="shared" si="0"/>
        <v>646000</v>
      </c>
      <c r="I63" t="str">
        <f>IFERROR(HLOOKUP(D63,'2_Master_Data'!$H$2:$Z$3,2,FALSE),"Tidak Ditemukan")</f>
        <v>Failed (Gagal Kirim)</v>
      </c>
      <c r="J63" s="3">
        <v>7579</v>
      </c>
      <c r="K63" t="str">
        <f t="shared" si="1"/>
        <v>Jarak Dekat</v>
      </c>
      <c r="L63" s="2">
        <f t="shared" si="2"/>
        <v>-50000</v>
      </c>
    </row>
    <row r="64" spans="1:12">
      <c r="A64" t="s">
        <v>162</v>
      </c>
      <c r="B64" t="s">
        <v>163</v>
      </c>
      <c r="C64" t="s">
        <v>16</v>
      </c>
      <c r="D64" t="s">
        <v>34</v>
      </c>
      <c r="E64" t="str">
        <f>IFERROR(VLOOKUP(C64,'2_Master_Data'!$A:$D,2,FALSE),"Tidak Ditemukan")</f>
        <v>Sukabumi</v>
      </c>
      <c r="F64">
        <f>IFERROR(VLOOKUP(C64,'2_Master_Data'!$A:$D,3,FALSE),0)</f>
        <v>45</v>
      </c>
      <c r="G64" s="2">
        <f>IFERROR(VLOOKUP(C64,'2_Master_Data'!$A:$D,4,FALSE),0)</f>
        <v>6800</v>
      </c>
      <c r="H64" s="2">
        <f t="shared" si="0"/>
        <v>306000</v>
      </c>
      <c r="I64" t="str">
        <f>IFERROR(HLOOKUP(D64,'2_Master_Data'!$H$2:$Z$3,2,FALSE),"Tidak Ditemukan")</f>
        <v>Failed (Gagal Kirim)</v>
      </c>
      <c r="J64" s="3">
        <v>3075</v>
      </c>
      <c r="K64" t="str">
        <f t="shared" si="1"/>
        <v>Jarak Dekat</v>
      </c>
      <c r="L64" s="2">
        <f t="shared" si="2"/>
        <v>-50000</v>
      </c>
    </row>
    <row r="65" spans="1:12">
      <c r="A65" t="s">
        <v>164</v>
      </c>
      <c r="B65" t="s">
        <v>165</v>
      </c>
      <c r="C65" t="s">
        <v>15</v>
      </c>
      <c r="D65" t="s">
        <v>33</v>
      </c>
      <c r="E65" t="str">
        <f>IFERROR(VLOOKUP(C65,'2_Master_Data'!$A:$D,2,FALSE),"Tidak Ditemukan")</f>
        <v>Garut</v>
      </c>
      <c r="F65">
        <f>IFERROR(VLOOKUP(C65,'2_Master_Data'!$A:$D,3,FALSE),0)</f>
        <v>130</v>
      </c>
      <c r="G65" s="2">
        <f>IFERROR(VLOOKUP(C65,'2_Master_Data'!$A:$D,4,FALSE),0)</f>
        <v>6800</v>
      </c>
      <c r="H65" s="2">
        <f t="shared" si="0"/>
        <v>884000</v>
      </c>
      <c r="I65" t="str">
        <f>IFERROR(HLOOKUP(D65,'2_Master_Data'!$H$2:$Z$3,2,FALSE),"Tidak Ditemukan")</f>
        <v>Late (Terlambat)</v>
      </c>
      <c r="J65" s="3">
        <v>5451</v>
      </c>
      <c r="K65" t="str">
        <f t="shared" si="1"/>
        <v>Jarak Jauh</v>
      </c>
      <c r="L65" s="2">
        <f t="shared" si="2"/>
        <v>-20000</v>
      </c>
    </row>
    <row r="66" spans="1:12">
      <c r="A66" t="s">
        <v>166</v>
      </c>
      <c r="B66" t="s">
        <v>138</v>
      </c>
      <c r="C66" t="s">
        <v>18</v>
      </c>
      <c r="D66" t="s">
        <v>32</v>
      </c>
      <c r="E66" t="str">
        <f>IFERROR(VLOOKUP(C66,'2_Master_Data'!$A:$D,2,FALSE),"Tidak Ditemukan")</f>
        <v>Cirebon</v>
      </c>
      <c r="F66">
        <f>IFERROR(VLOOKUP(C66,'2_Master_Data'!$A:$D,3,FALSE),0)</f>
        <v>220</v>
      </c>
      <c r="G66" s="2">
        <f>IFERROR(VLOOKUP(C66,'2_Master_Data'!$A:$D,4,FALSE),0)</f>
        <v>6800</v>
      </c>
      <c r="H66" s="2">
        <f t="shared" ref="H66:H129" si="3">F66*G66</f>
        <v>1496000</v>
      </c>
      <c r="I66" t="str">
        <f>IFERROR(HLOOKUP(D66,'2_Master_Data'!$H$2:$Z$3,2,FALSE),"Tidak Ditemukan")</f>
        <v>On-Time (Tepat Waktu)</v>
      </c>
      <c r="J66" s="3">
        <v>1893</v>
      </c>
      <c r="K66" t="str">
        <f t="shared" ref="K66:K129" si="4">IF(F66&gt;100,"Jarak Jauh","Jarak Dekat")</f>
        <v>Jarak Jauh</v>
      </c>
      <c r="L66" s="2">
        <f t="shared" ref="L66:L129" si="5">IF(I66="On-Time (Tepat Waktu)",50000,IF(I66="Late (Terlambat)",-20000,IF(I66="Failed (Gagal Kirim)",-50000,0)))</f>
        <v>50000</v>
      </c>
    </row>
    <row r="67" spans="1:12">
      <c r="A67" t="s">
        <v>167</v>
      </c>
      <c r="B67" t="s">
        <v>89</v>
      </c>
      <c r="C67" t="s">
        <v>18</v>
      </c>
      <c r="D67" t="s">
        <v>32</v>
      </c>
      <c r="E67" t="str">
        <f>IFERROR(VLOOKUP(C67,'2_Master_Data'!$A:$D,2,FALSE),"Tidak Ditemukan")</f>
        <v>Cirebon</v>
      </c>
      <c r="F67">
        <f>IFERROR(VLOOKUP(C67,'2_Master_Data'!$A:$D,3,FALSE),0)</f>
        <v>220</v>
      </c>
      <c r="G67" s="2">
        <f>IFERROR(VLOOKUP(C67,'2_Master_Data'!$A:$D,4,FALSE),0)</f>
        <v>6800</v>
      </c>
      <c r="H67" s="2">
        <f t="shared" si="3"/>
        <v>1496000</v>
      </c>
      <c r="I67" t="str">
        <f>IFERROR(HLOOKUP(D67,'2_Master_Data'!$H$2:$Z$3,2,FALSE),"Tidak Ditemukan")</f>
        <v>On-Time (Tepat Waktu)</v>
      </c>
      <c r="J67" s="3">
        <v>4772</v>
      </c>
      <c r="K67" t="str">
        <f t="shared" si="4"/>
        <v>Jarak Jauh</v>
      </c>
      <c r="L67" s="2">
        <f t="shared" si="5"/>
        <v>50000</v>
      </c>
    </row>
    <row r="68" spans="1:12">
      <c r="A68" t="s">
        <v>168</v>
      </c>
      <c r="B68" t="s">
        <v>169</v>
      </c>
      <c r="C68" t="s">
        <v>17</v>
      </c>
      <c r="D68" t="s">
        <v>32</v>
      </c>
      <c r="E68" t="str">
        <f>IFERROR(VLOOKUP(C68,'2_Master_Data'!$A:$D,2,FALSE),"Tidak Ditemukan")</f>
        <v>Tasikmalaya</v>
      </c>
      <c r="F68">
        <f>IFERROR(VLOOKUP(C68,'2_Master_Data'!$A:$D,3,FALSE),0)</f>
        <v>160</v>
      </c>
      <c r="G68" s="2">
        <f>IFERROR(VLOOKUP(C68,'2_Master_Data'!$A:$D,4,FALSE),0)</f>
        <v>6800</v>
      </c>
      <c r="H68" s="2">
        <f t="shared" si="3"/>
        <v>1088000</v>
      </c>
      <c r="I68" t="str">
        <f>IFERROR(HLOOKUP(D68,'2_Master_Data'!$H$2:$Z$3,2,FALSE),"Tidak Ditemukan")</f>
        <v>On-Time (Tepat Waktu)</v>
      </c>
      <c r="J68" s="3">
        <v>3828</v>
      </c>
      <c r="K68" t="str">
        <f t="shared" si="4"/>
        <v>Jarak Jauh</v>
      </c>
      <c r="L68" s="2">
        <f t="shared" si="5"/>
        <v>50000</v>
      </c>
    </row>
    <row r="69" spans="1:12">
      <c r="A69" t="s">
        <v>170</v>
      </c>
      <c r="B69" t="s">
        <v>112</v>
      </c>
      <c r="C69" t="s">
        <v>13</v>
      </c>
      <c r="D69" t="s">
        <v>32</v>
      </c>
      <c r="E69" t="str">
        <f>IFERROR(VLOOKUP(C69,'2_Master_Data'!$A:$D,2,FALSE),"Tidak Ditemukan")</f>
        <v>Bogor</v>
      </c>
      <c r="F69">
        <f>IFERROR(VLOOKUP(C69,'2_Master_Data'!$A:$D,3,FALSE),0)</f>
        <v>80</v>
      </c>
      <c r="G69" s="2">
        <f>IFERROR(VLOOKUP(C69,'2_Master_Data'!$A:$D,4,FALSE),0)</f>
        <v>6800</v>
      </c>
      <c r="H69" s="2">
        <f t="shared" si="3"/>
        <v>544000</v>
      </c>
      <c r="I69" t="str">
        <f>IFERROR(HLOOKUP(D69,'2_Master_Data'!$H$2:$Z$3,2,FALSE),"Tidak Ditemukan")</f>
        <v>On-Time (Tepat Waktu)</v>
      </c>
      <c r="J69" s="3">
        <v>2123</v>
      </c>
      <c r="K69" t="str">
        <f t="shared" si="4"/>
        <v>Jarak Dekat</v>
      </c>
      <c r="L69" s="2">
        <f t="shared" si="5"/>
        <v>50000</v>
      </c>
    </row>
    <row r="70" spans="1:12">
      <c r="A70" t="s">
        <v>171</v>
      </c>
      <c r="B70" t="s">
        <v>172</v>
      </c>
      <c r="C70" t="s">
        <v>15</v>
      </c>
      <c r="D70" t="s">
        <v>32</v>
      </c>
      <c r="E70" t="str">
        <f>IFERROR(VLOOKUP(C70,'2_Master_Data'!$A:$D,2,FALSE),"Tidak Ditemukan")</f>
        <v>Garut</v>
      </c>
      <c r="F70">
        <f>IFERROR(VLOOKUP(C70,'2_Master_Data'!$A:$D,3,FALSE),0)</f>
        <v>130</v>
      </c>
      <c r="G70" s="2">
        <f>IFERROR(VLOOKUP(C70,'2_Master_Data'!$A:$D,4,FALSE),0)</f>
        <v>6800</v>
      </c>
      <c r="H70" s="2">
        <f t="shared" si="3"/>
        <v>884000</v>
      </c>
      <c r="I70" t="str">
        <f>IFERROR(HLOOKUP(D70,'2_Master_Data'!$H$2:$Z$3,2,FALSE),"Tidak Ditemukan")</f>
        <v>On-Time (Tepat Waktu)</v>
      </c>
      <c r="J70" s="3">
        <v>3015</v>
      </c>
      <c r="K70" t="str">
        <f t="shared" si="4"/>
        <v>Jarak Jauh</v>
      </c>
      <c r="L70" s="2">
        <f t="shared" si="5"/>
        <v>50000</v>
      </c>
    </row>
    <row r="71" spans="1:12">
      <c r="A71" t="s">
        <v>173</v>
      </c>
      <c r="B71" t="s">
        <v>174</v>
      </c>
      <c r="C71" t="s">
        <v>16</v>
      </c>
      <c r="D71" t="s">
        <v>32</v>
      </c>
      <c r="E71" t="str">
        <f>IFERROR(VLOOKUP(C71,'2_Master_Data'!$A:$D,2,FALSE),"Tidak Ditemukan")</f>
        <v>Sukabumi</v>
      </c>
      <c r="F71">
        <f>IFERROR(VLOOKUP(C71,'2_Master_Data'!$A:$D,3,FALSE),0)</f>
        <v>45</v>
      </c>
      <c r="G71" s="2">
        <f>IFERROR(VLOOKUP(C71,'2_Master_Data'!$A:$D,4,FALSE),0)</f>
        <v>6800</v>
      </c>
      <c r="H71" s="2">
        <f t="shared" si="3"/>
        <v>306000</v>
      </c>
      <c r="I71" t="str">
        <f>IFERROR(HLOOKUP(D71,'2_Master_Data'!$H$2:$Z$3,2,FALSE),"Tidak Ditemukan")</f>
        <v>On-Time (Tepat Waktu)</v>
      </c>
      <c r="J71" s="3">
        <v>5309</v>
      </c>
      <c r="K71" t="str">
        <f t="shared" si="4"/>
        <v>Jarak Dekat</v>
      </c>
      <c r="L71" s="2">
        <f t="shared" si="5"/>
        <v>50000</v>
      </c>
    </row>
    <row r="72" spans="1:12">
      <c r="A72" t="s">
        <v>175</v>
      </c>
      <c r="B72" t="s">
        <v>176</v>
      </c>
      <c r="C72" t="s">
        <v>13</v>
      </c>
      <c r="D72" t="s">
        <v>32</v>
      </c>
      <c r="E72" t="str">
        <f>IFERROR(VLOOKUP(C72,'2_Master_Data'!$A:$D,2,FALSE),"Tidak Ditemukan")</f>
        <v>Bogor</v>
      </c>
      <c r="F72">
        <f>IFERROR(VLOOKUP(C72,'2_Master_Data'!$A:$D,3,FALSE),0)</f>
        <v>80</v>
      </c>
      <c r="G72" s="2">
        <f>IFERROR(VLOOKUP(C72,'2_Master_Data'!$A:$D,4,FALSE),0)</f>
        <v>6800</v>
      </c>
      <c r="H72" s="2">
        <f t="shared" si="3"/>
        <v>544000</v>
      </c>
      <c r="I72" t="str">
        <f>IFERROR(HLOOKUP(D72,'2_Master_Data'!$H$2:$Z$3,2,FALSE),"Tidak Ditemukan")</f>
        <v>On-Time (Tepat Waktu)</v>
      </c>
      <c r="J72" s="3">
        <v>7327</v>
      </c>
      <c r="K72" t="str">
        <f t="shared" si="4"/>
        <v>Jarak Dekat</v>
      </c>
      <c r="L72" s="2">
        <f t="shared" si="5"/>
        <v>50000</v>
      </c>
    </row>
    <row r="73" spans="1:12">
      <c r="A73" t="s">
        <v>177</v>
      </c>
      <c r="B73" t="s">
        <v>89</v>
      </c>
      <c r="C73" t="s">
        <v>17</v>
      </c>
      <c r="D73" t="s">
        <v>32</v>
      </c>
      <c r="E73" t="str">
        <f>IFERROR(VLOOKUP(C73,'2_Master_Data'!$A:$D,2,FALSE),"Tidak Ditemukan")</f>
        <v>Tasikmalaya</v>
      </c>
      <c r="F73">
        <f>IFERROR(VLOOKUP(C73,'2_Master_Data'!$A:$D,3,FALSE),0)</f>
        <v>160</v>
      </c>
      <c r="G73" s="2">
        <f>IFERROR(VLOOKUP(C73,'2_Master_Data'!$A:$D,4,FALSE),0)</f>
        <v>6800</v>
      </c>
      <c r="H73" s="2">
        <f t="shared" si="3"/>
        <v>1088000</v>
      </c>
      <c r="I73" t="str">
        <f>IFERROR(HLOOKUP(D73,'2_Master_Data'!$H$2:$Z$3,2,FALSE),"Tidak Ditemukan")</f>
        <v>On-Time (Tepat Waktu)</v>
      </c>
      <c r="J73" s="3">
        <v>1552</v>
      </c>
      <c r="K73" t="str">
        <f t="shared" si="4"/>
        <v>Jarak Jauh</v>
      </c>
      <c r="L73" s="2">
        <f t="shared" si="5"/>
        <v>50000</v>
      </c>
    </row>
    <row r="74" spans="1:12">
      <c r="A74" t="s">
        <v>178</v>
      </c>
      <c r="B74" t="s">
        <v>179</v>
      </c>
      <c r="C74" t="s">
        <v>19</v>
      </c>
      <c r="D74" t="s">
        <v>32</v>
      </c>
      <c r="E74" t="str">
        <f>IFERROR(VLOOKUP(C74,'2_Master_Data'!$A:$D,2,FALSE),"Tidak Ditemukan")</f>
        <v>Purwakarta</v>
      </c>
      <c r="F74">
        <f>IFERROR(VLOOKUP(C74,'2_Master_Data'!$A:$D,3,FALSE),0)</f>
        <v>95</v>
      </c>
      <c r="G74" s="2">
        <f>IFERROR(VLOOKUP(C74,'2_Master_Data'!$A:$D,4,FALSE),0)</f>
        <v>6800</v>
      </c>
      <c r="H74" s="2">
        <f t="shared" si="3"/>
        <v>646000</v>
      </c>
      <c r="I74" t="str">
        <f>IFERROR(HLOOKUP(D74,'2_Master_Data'!$H$2:$Z$3,2,FALSE),"Tidak Ditemukan")</f>
        <v>On-Time (Tepat Waktu)</v>
      </c>
      <c r="J74" s="3">
        <v>5057</v>
      </c>
      <c r="K74" t="str">
        <f t="shared" si="4"/>
        <v>Jarak Dekat</v>
      </c>
      <c r="L74" s="2">
        <f t="shared" si="5"/>
        <v>50000</v>
      </c>
    </row>
    <row r="75" spans="1:12">
      <c r="A75" t="s">
        <v>180</v>
      </c>
      <c r="B75" t="s">
        <v>179</v>
      </c>
      <c r="C75" t="s">
        <v>19</v>
      </c>
      <c r="D75" t="s">
        <v>32</v>
      </c>
      <c r="E75" t="str">
        <f>IFERROR(VLOOKUP(C75,'2_Master_Data'!$A:$D,2,FALSE),"Tidak Ditemukan")</f>
        <v>Purwakarta</v>
      </c>
      <c r="F75">
        <f>IFERROR(VLOOKUP(C75,'2_Master_Data'!$A:$D,3,FALSE),0)</f>
        <v>95</v>
      </c>
      <c r="G75" s="2">
        <f>IFERROR(VLOOKUP(C75,'2_Master_Data'!$A:$D,4,FALSE),0)</f>
        <v>6800</v>
      </c>
      <c r="H75" s="2">
        <f t="shared" si="3"/>
        <v>646000</v>
      </c>
      <c r="I75" t="str">
        <f>IFERROR(HLOOKUP(D75,'2_Master_Data'!$H$2:$Z$3,2,FALSE),"Tidak Ditemukan")</f>
        <v>On-Time (Tepat Waktu)</v>
      </c>
      <c r="J75" s="3">
        <v>2446</v>
      </c>
      <c r="K75" t="str">
        <f t="shared" si="4"/>
        <v>Jarak Dekat</v>
      </c>
      <c r="L75" s="2">
        <f t="shared" si="5"/>
        <v>50000</v>
      </c>
    </row>
    <row r="76" spans="1:12">
      <c r="A76" t="s">
        <v>181</v>
      </c>
      <c r="B76" t="s">
        <v>169</v>
      </c>
      <c r="C76" t="s">
        <v>14</v>
      </c>
      <c r="D76" t="s">
        <v>33</v>
      </c>
      <c r="E76" t="str">
        <f>IFERROR(VLOOKUP(C76,'2_Master_Data'!$A:$D,2,FALSE),"Tidak Ditemukan")</f>
        <v>Jakarta</v>
      </c>
      <c r="F76">
        <f>IFERROR(VLOOKUP(C76,'2_Master_Data'!$A:$D,3,FALSE),0)</f>
        <v>110</v>
      </c>
      <c r="G76" s="2">
        <f>IFERROR(VLOOKUP(C76,'2_Master_Data'!$A:$D,4,FALSE),0)</f>
        <v>6800</v>
      </c>
      <c r="H76" s="2">
        <f t="shared" si="3"/>
        <v>748000</v>
      </c>
      <c r="I76" t="str">
        <f>IFERROR(HLOOKUP(D76,'2_Master_Data'!$H$2:$Z$3,2,FALSE),"Tidak Ditemukan")</f>
        <v>Late (Terlambat)</v>
      </c>
      <c r="J76" s="3">
        <v>2739</v>
      </c>
      <c r="K76" t="str">
        <f t="shared" si="4"/>
        <v>Jarak Jauh</v>
      </c>
      <c r="L76" s="2">
        <f t="shared" si="5"/>
        <v>-20000</v>
      </c>
    </row>
    <row r="77" spans="1:12">
      <c r="A77" t="s">
        <v>182</v>
      </c>
      <c r="B77" t="s">
        <v>112</v>
      </c>
      <c r="C77" t="s">
        <v>18</v>
      </c>
      <c r="D77" t="s">
        <v>32</v>
      </c>
      <c r="E77" t="str">
        <f>IFERROR(VLOOKUP(C77,'2_Master_Data'!$A:$D,2,FALSE),"Tidak Ditemukan")</f>
        <v>Cirebon</v>
      </c>
      <c r="F77">
        <f>IFERROR(VLOOKUP(C77,'2_Master_Data'!$A:$D,3,FALSE),0)</f>
        <v>220</v>
      </c>
      <c r="G77" s="2">
        <f>IFERROR(VLOOKUP(C77,'2_Master_Data'!$A:$D,4,FALSE),0)</f>
        <v>6800</v>
      </c>
      <c r="H77" s="2">
        <f t="shared" si="3"/>
        <v>1496000</v>
      </c>
      <c r="I77" t="str">
        <f>IFERROR(HLOOKUP(D77,'2_Master_Data'!$H$2:$Z$3,2,FALSE),"Tidak Ditemukan")</f>
        <v>On-Time (Tepat Waktu)</v>
      </c>
      <c r="J77" s="3">
        <v>2470</v>
      </c>
      <c r="K77" t="str">
        <f t="shared" si="4"/>
        <v>Jarak Jauh</v>
      </c>
      <c r="L77" s="2">
        <f t="shared" si="5"/>
        <v>50000</v>
      </c>
    </row>
    <row r="78" spans="1:12">
      <c r="A78" t="s">
        <v>183</v>
      </c>
      <c r="B78" t="s">
        <v>184</v>
      </c>
      <c r="C78" t="s">
        <v>12</v>
      </c>
      <c r="D78" t="s">
        <v>32</v>
      </c>
      <c r="E78" t="str">
        <f>IFERROR(VLOOKUP(C78,'2_Master_Data'!$A:$D,2,FALSE),"Tidak Ditemukan")</f>
        <v>Bukittinggi</v>
      </c>
      <c r="F78">
        <f>IFERROR(VLOOKUP(C78,'2_Master_Data'!$A:$D,3,FALSE),0)</f>
        <v>1200</v>
      </c>
      <c r="G78" s="2">
        <f>IFERROR(VLOOKUP(C78,'2_Master_Data'!$A:$D,4,FALSE),0)</f>
        <v>6800</v>
      </c>
      <c r="H78" s="2">
        <f t="shared" si="3"/>
        <v>8160000</v>
      </c>
      <c r="I78" t="str">
        <f>IFERROR(HLOOKUP(D78,'2_Master_Data'!$H$2:$Z$3,2,FALSE),"Tidak Ditemukan")</f>
        <v>On-Time (Tepat Waktu)</v>
      </c>
      <c r="J78" s="3">
        <v>2548</v>
      </c>
      <c r="K78" t="str">
        <f t="shared" si="4"/>
        <v>Jarak Jauh</v>
      </c>
      <c r="L78" s="2">
        <f t="shared" si="5"/>
        <v>50000</v>
      </c>
    </row>
    <row r="79" spans="1:12">
      <c r="A79" t="s">
        <v>185</v>
      </c>
      <c r="B79" t="s">
        <v>186</v>
      </c>
      <c r="C79" t="s">
        <v>13</v>
      </c>
      <c r="D79" t="s">
        <v>32</v>
      </c>
      <c r="E79" t="str">
        <f>IFERROR(VLOOKUP(C79,'2_Master_Data'!$A:$D,2,FALSE),"Tidak Ditemukan")</f>
        <v>Bogor</v>
      </c>
      <c r="F79">
        <f>IFERROR(VLOOKUP(C79,'2_Master_Data'!$A:$D,3,FALSE),0)</f>
        <v>80</v>
      </c>
      <c r="G79" s="2">
        <f>IFERROR(VLOOKUP(C79,'2_Master_Data'!$A:$D,4,FALSE),0)</f>
        <v>6800</v>
      </c>
      <c r="H79" s="2">
        <f t="shared" si="3"/>
        <v>544000</v>
      </c>
      <c r="I79" t="str">
        <f>IFERROR(HLOOKUP(D79,'2_Master_Data'!$H$2:$Z$3,2,FALSE),"Tidak Ditemukan")</f>
        <v>On-Time (Tepat Waktu)</v>
      </c>
      <c r="J79" s="3">
        <v>6026</v>
      </c>
      <c r="K79" t="str">
        <f t="shared" si="4"/>
        <v>Jarak Dekat</v>
      </c>
      <c r="L79" s="2">
        <f t="shared" si="5"/>
        <v>50000</v>
      </c>
    </row>
    <row r="80" spans="1:12">
      <c r="A80" t="s">
        <v>187</v>
      </c>
      <c r="B80" t="s">
        <v>188</v>
      </c>
      <c r="C80" t="s">
        <v>18</v>
      </c>
      <c r="D80" t="s">
        <v>32</v>
      </c>
      <c r="E80" t="str">
        <f>IFERROR(VLOOKUP(C80,'2_Master_Data'!$A:$D,2,FALSE),"Tidak Ditemukan")</f>
        <v>Cirebon</v>
      </c>
      <c r="F80">
        <f>IFERROR(VLOOKUP(C80,'2_Master_Data'!$A:$D,3,FALSE),0)</f>
        <v>220</v>
      </c>
      <c r="G80" s="2">
        <f>IFERROR(VLOOKUP(C80,'2_Master_Data'!$A:$D,4,FALSE),0)</f>
        <v>6800</v>
      </c>
      <c r="H80" s="2">
        <f t="shared" si="3"/>
        <v>1496000</v>
      </c>
      <c r="I80" t="str">
        <f>IFERROR(HLOOKUP(D80,'2_Master_Data'!$H$2:$Z$3,2,FALSE),"Tidak Ditemukan")</f>
        <v>On-Time (Tepat Waktu)</v>
      </c>
      <c r="J80" s="3">
        <v>1754</v>
      </c>
      <c r="K80" t="str">
        <f t="shared" si="4"/>
        <v>Jarak Jauh</v>
      </c>
      <c r="L80" s="2">
        <f t="shared" si="5"/>
        <v>50000</v>
      </c>
    </row>
    <row r="81" spans="1:12">
      <c r="A81" t="s">
        <v>189</v>
      </c>
      <c r="B81" t="s">
        <v>158</v>
      </c>
      <c r="C81" t="s">
        <v>18</v>
      </c>
      <c r="D81" t="s">
        <v>32</v>
      </c>
      <c r="E81" t="str">
        <f>IFERROR(VLOOKUP(C81,'2_Master_Data'!$A:$D,2,FALSE),"Tidak Ditemukan")</f>
        <v>Cirebon</v>
      </c>
      <c r="F81">
        <f>IFERROR(VLOOKUP(C81,'2_Master_Data'!$A:$D,3,FALSE),0)</f>
        <v>220</v>
      </c>
      <c r="G81" s="2">
        <f>IFERROR(VLOOKUP(C81,'2_Master_Data'!$A:$D,4,FALSE),0)</f>
        <v>6800</v>
      </c>
      <c r="H81" s="2">
        <f t="shared" si="3"/>
        <v>1496000</v>
      </c>
      <c r="I81" t="str">
        <f>IFERROR(HLOOKUP(D81,'2_Master_Data'!$H$2:$Z$3,2,FALSE),"Tidak Ditemukan")</f>
        <v>On-Time (Tepat Waktu)</v>
      </c>
      <c r="J81" s="3">
        <v>7637</v>
      </c>
      <c r="K81" t="str">
        <f t="shared" si="4"/>
        <v>Jarak Jauh</v>
      </c>
      <c r="L81" s="2">
        <f t="shared" si="5"/>
        <v>50000</v>
      </c>
    </row>
    <row r="82" spans="1:12">
      <c r="A82" t="s">
        <v>190</v>
      </c>
      <c r="B82" t="s">
        <v>191</v>
      </c>
      <c r="C82" t="s">
        <v>13</v>
      </c>
      <c r="D82" t="s">
        <v>32</v>
      </c>
      <c r="E82" t="str">
        <f>IFERROR(VLOOKUP(C82,'2_Master_Data'!$A:$D,2,FALSE),"Tidak Ditemukan")</f>
        <v>Bogor</v>
      </c>
      <c r="F82">
        <f>IFERROR(VLOOKUP(C82,'2_Master_Data'!$A:$D,3,FALSE),0)</f>
        <v>80</v>
      </c>
      <c r="G82" s="2">
        <f>IFERROR(VLOOKUP(C82,'2_Master_Data'!$A:$D,4,FALSE),0)</f>
        <v>6800</v>
      </c>
      <c r="H82" s="2">
        <f t="shared" si="3"/>
        <v>544000</v>
      </c>
      <c r="I82" t="str">
        <f>IFERROR(HLOOKUP(D82,'2_Master_Data'!$H$2:$Z$3,2,FALSE),"Tidak Ditemukan")</f>
        <v>On-Time (Tepat Waktu)</v>
      </c>
      <c r="J82" s="3">
        <v>3419</v>
      </c>
      <c r="K82" t="str">
        <f t="shared" si="4"/>
        <v>Jarak Dekat</v>
      </c>
      <c r="L82" s="2">
        <f t="shared" si="5"/>
        <v>50000</v>
      </c>
    </row>
    <row r="83" spans="1:12">
      <c r="A83" t="s">
        <v>192</v>
      </c>
      <c r="B83" t="s">
        <v>193</v>
      </c>
      <c r="C83" t="s">
        <v>13</v>
      </c>
      <c r="D83" t="s">
        <v>33</v>
      </c>
      <c r="E83" t="str">
        <f>IFERROR(VLOOKUP(C83,'2_Master_Data'!$A:$D,2,FALSE),"Tidak Ditemukan")</f>
        <v>Bogor</v>
      </c>
      <c r="F83">
        <f>IFERROR(VLOOKUP(C83,'2_Master_Data'!$A:$D,3,FALSE),0)</f>
        <v>80</v>
      </c>
      <c r="G83" s="2">
        <f>IFERROR(VLOOKUP(C83,'2_Master_Data'!$A:$D,4,FALSE),0)</f>
        <v>6800</v>
      </c>
      <c r="H83" s="2">
        <f t="shared" si="3"/>
        <v>544000</v>
      </c>
      <c r="I83" t="str">
        <f>IFERROR(HLOOKUP(D83,'2_Master_Data'!$H$2:$Z$3,2,FALSE),"Tidak Ditemukan")</f>
        <v>Late (Terlambat)</v>
      </c>
      <c r="J83" s="3">
        <v>5732</v>
      </c>
      <c r="K83" t="str">
        <f t="shared" si="4"/>
        <v>Jarak Dekat</v>
      </c>
      <c r="L83" s="2">
        <f t="shared" si="5"/>
        <v>-20000</v>
      </c>
    </row>
    <row r="84" spans="1:12">
      <c r="A84" t="s">
        <v>194</v>
      </c>
      <c r="B84" t="s">
        <v>128</v>
      </c>
      <c r="C84" t="s">
        <v>11</v>
      </c>
      <c r="D84" t="s">
        <v>32</v>
      </c>
      <c r="E84" t="str">
        <f>IFERROR(VLOOKUP(C84,'2_Master_Data'!$A:$D,2,FALSE),"Tidak Ditemukan")</f>
        <v>Bandung</v>
      </c>
      <c r="F84">
        <f>IFERROR(VLOOKUP(C84,'2_Master_Data'!$A:$D,3,FALSE),0)</f>
        <v>65</v>
      </c>
      <c r="G84" s="2">
        <f>IFERROR(VLOOKUP(C84,'2_Master_Data'!$A:$D,4,FALSE),0)</f>
        <v>6800</v>
      </c>
      <c r="H84" s="2">
        <f t="shared" si="3"/>
        <v>442000</v>
      </c>
      <c r="I84" t="str">
        <f>IFERROR(HLOOKUP(D84,'2_Master_Data'!$H$2:$Z$3,2,FALSE),"Tidak Ditemukan")</f>
        <v>On-Time (Tepat Waktu)</v>
      </c>
      <c r="J84" s="3">
        <v>1516</v>
      </c>
      <c r="K84" t="str">
        <f t="shared" si="4"/>
        <v>Jarak Dekat</v>
      </c>
      <c r="L84" s="2">
        <f t="shared" si="5"/>
        <v>50000</v>
      </c>
    </row>
    <row r="85" spans="1:12">
      <c r="A85" t="s">
        <v>195</v>
      </c>
      <c r="B85" t="s">
        <v>63</v>
      </c>
      <c r="C85" t="s">
        <v>11</v>
      </c>
      <c r="D85" t="s">
        <v>32</v>
      </c>
      <c r="E85" t="str">
        <f>IFERROR(VLOOKUP(C85,'2_Master_Data'!$A:$D,2,FALSE),"Tidak Ditemukan")</f>
        <v>Bandung</v>
      </c>
      <c r="F85">
        <f>IFERROR(VLOOKUP(C85,'2_Master_Data'!$A:$D,3,FALSE),0)</f>
        <v>65</v>
      </c>
      <c r="G85" s="2">
        <f>IFERROR(VLOOKUP(C85,'2_Master_Data'!$A:$D,4,FALSE),0)</f>
        <v>6800</v>
      </c>
      <c r="H85" s="2">
        <f t="shared" si="3"/>
        <v>442000</v>
      </c>
      <c r="I85" t="str">
        <f>IFERROR(HLOOKUP(D85,'2_Master_Data'!$H$2:$Z$3,2,FALSE),"Tidak Ditemukan")</f>
        <v>On-Time (Tepat Waktu)</v>
      </c>
      <c r="J85" s="3">
        <v>7549</v>
      </c>
      <c r="K85" t="str">
        <f t="shared" si="4"/>
        <v>Jarak Dekat</v>
      </c>
      <c r="L85" s="2">
        <f t="shared" si="5"/>
        <v>50000</v>
      </c>
    </row>
    <row r="86" spans="1:12">
      <c r="A86" t="s">
        <v>196</v>
      </c>
      <c r="B86" t="s">
        <v>197</v>
      </c>
      <c r="C86" t="s">
        <v>12</v>
      </c>
      <c r="D86" t="s">
        <v>34</v>
      </c>
      <c r="E86" t="str">
        <f>IFERROR(VLOOKUP(C86,'2_Master_Data'!$A:$D,2,FALSE),"Tidak Ditemukan")</f>
        <v>Bukittinggi</v>
      </c>
      <c r="F86">
        <f>IFERROR(VLOOKUP(C86,'2_Master_Data'!$A:$D,3,FALSE),0)</f>
        <v>1200</v>
      </c>
      <c r="G86" s="2">
        <f>IFERROR(VLOOKUP(C86,'2_Master_Data'!$A:$D,4,FALSE),0)</f>
        <v>6800</v>
      </c>
      <c r="H86" s="2">
        <f t="shared" si="3"/>
        <v>8160000</v>
      </c>
      <c r="I86" t="str">
        <f>IFERROR(HLOOKUP(D86,'2_Master_Data'!$H$2:$Z$3,2,FALSE),"Tidak Ditemukan")</f>
        <v>Failed (Gagal Kirim)</v>
      </c>
      <c r="J86" s="3">
        <v>5516</v>
      </c>
      <c r="K86" t="str">
        <f t="shared" si="4"/>
        <v>Jarak Jauh</v>
      </c>
      <c r="L86" s="2">
        <f t="shared" si="5"/>
        <v>-50000</v>
      </c>
    </row>
    <row r="87" spans="1:12">
      <c r="A87" t="s">
        <v>198</v>
      </c>
      <c r="B87" t="s">
        <v>83</v>
      </c>
      <c r="C87" t="s">
        <v>16</v>
      </c>
      <c r="D87" t="s">
        <v>32</v>
      </c>
      <c r="E87" t="str">
        <f>IFERROR(VLOOKUP(C87,'2_Master_Data'!$A:$D,2,FALSE),"Tidak Ditemukan")</f>
        <v>Sukabumi</v>
      </c>
      <c r="F87">
        <f>IFERROR(VLOOKUP(C87,'2_Master_Data'!$A:$D,3,FALSE),0)</f>
        <v>45</v>
      </c>
      <c r="G87" s="2">
        <f>IFERROR(VLOOKUP(C87,'2_Master_Data'!$A:$D,4,FALSE),0)</f>
        <v>6800</v>
      </c>
      <c r="H87" s="2">
        <f t="shared" si="3"/>
        <v>306000</v>
      </c>
      <c r="I87" t="str">
        <f>IFERROR(HLOOKUP(D87,'2_Master_Data'!$H$2:$Z$3,2,FALSE),"Tidak Ditemukan")</f>
        <v>On-Time (Tepat Waktu)</v>
      </c>
      <c r="J87" s="3">
        <v>4169</v>
      </c>
      <c r="K87" t="str">
        <f t="shared" si="4"/>
        <v>Jarak Dekat</v>
      </c>
      <c r="L87" s="2">
        <f t="shared" si="5"/>
        <v>50000</v>
      </c>
    </row>
    <row r="88" spans="1:12">
      <c r="A88" t="s">
        <v>199</v>
      </c>
      <c r="B88" t="s">
        <v>200</v>
      </c>
      <c r="C88" t="s">
        <v>16</v>
      </c>
      <c r="D88" t="s">
        <v>34</v>
      </c>
      <c r="E88" t="str">
        <f>IFERROR(VLOOKUP(C88,'2_Master_Data'!$A:$D,2,FALSE),"Tidak Ditemukan")</f>
        <v>Sukabumi</v>
      </c>
      <c r="F88">
        <f>IFERROR(VLOOKUP(C88,'2_Master_Data'!$A:$D,3,FALSE),0)</f>
        <v>45</v>
      </c>
      <c r="G88" s="2">
        <f>IFERROR(VLOOKUP(C88,'2_Master_Data'!$A:$D,4,FALSE),0)</f>
        <v>6800</v>
      </c>
      <c r="H88" s="2">
        <f t="shared" si="3"/>
        <v>306000</v>
      </c>
      <c r="I88" t="str">
        <f>IFERROR(HLOOKUP(D88,'2_Master_Data'!$H$2:$Z$3,2,FALSE),"Tidak Ditemukan")</f>
        <v>Failed (Gagal Kirim)</v>
      </c>
      <c r="J88" s="3">
        <v>2397</v>
      </c>
      <c r="K88" t="str">
        <f t="shared" si="4"/>
        <v>Jarak Dekat</v>
      </c>
      <c r="L88" s="2">
        <f t="shared" si="5"/>
        <v>-50000</v>
      </c>
    </row>
    <row r="89" spans="1:12">
      <c r="A89" t="s">
        <v>201</v>
      </c>
      <c r="B89" t="s">
        <v>102</v>
      </c>
      <c r="C89" t="s">
        <v>14</v>
      </c>
      <c r="D89" t="s">
        <v>32</v>
      </c>
      <c r="E89" t="str">
        <f>IFERROR(VLOOKUP(C89,'2_Master_Data'!$A:$D,2,FALSE),"Tidak Ditemukan")</f>
        <v>Jakarta</v>
      </c>
      <c r="F89">
        <f>IFERROR(VLOOKUP(C89,'2_Master_Data'!$A:$D,3,FALSE),0)</f>
        <v>110</v>
      </c>
      <c r="G89" s="2">
        <f>IFERROR(VLOOKUP(C89,'2_Master_Data'!$A:$D,4,FALSE),0)</f>
        <v>6800</v>
      </c>
      <c r="H89" s="2">
        <f t="shared" si="3"/>
        <v>748000</v>
      </c>
      <c r="I89" t="str">
        <f>IFERROR(HLOOKUP(D89,'2_Master_Data'!$H$2:$Z$3,2,FALSE),"Tidak Ditemukan")</f>
        <v>On-Time (Tepat Waktu)</v>
      </c>
      <c r="J89" s="3">
        <v>3271</v>
      </c>
      <c r="K89" t="str">
        <f t="shared" si="4"/>
        <v>Jarak Jauh</v>
      </c>
      <c r="L89" s="2">
        <f t="shared" si="5"/>
        <v>50000</v>
      </c>
    </row>
    <row r="90" spans="1:12">
      <c r="A90" t="s">
        <v>202</v>
      </c>
      <c r="B90" t="s">
        <v>203</v>
      </c>
      <c r="C90" t="s">
        <v>13</v>
      </c>
      <c r="D90" t="s">
        <v>32</v>
      </c>
      <c r="E90" t="str">
        <f>IFERROR(VLOOKUP(C90,'2_Master_Data'!$A:$D,2,FALSE),"Tidak Ditemukan")</f>
        <v>Bogor</v>
      </c>
      <c r="F90">
        <f>IFERROR(VLOOKUP(C90,'2_Master_Data'!$A:$D,3,FALSE),0)</f>
        <v>80</v>
      </c>
      <c r="G90" s="2">
        <f>IFERROR(VLOOKUP(C90,'2_Master_Data'!$A:$D,4,FALSE),0)</f>
        <v>6800</v>
      </c>
      <c r="H90" s="2">
        <f t="shared" si="3"/>
        <v>544000</v>
      </c>
      <c r="I90" t="str">
        <f>IFERROR(HLOOKUP(D90,'2_Master_Data'!$H$2:$Z$3,2,FALSE),"Tidak Ditemukan")</f>
        <v>On-Time (Tepat Waktu)</v>
      </c>
      <c r="J90" s="3">
        <v>2032</v>
      </c>
      <c r="K90" t="str">
        <f t="shared" si="4"/>
        <v>Jarak Dekat</v>
      </c>
      <c r="L90" s="2">
        <f t="shared" si="5"/>
        <v>50000</v>
      </c>
    </row>
    <row r="91" spans="1:12">
      <c r="A91" t="s">
        <v>204</v>
      </c>
      <c r="B91" t="s">
        <v>71</v>
      </c>
      <c r="C91" t="s">
        <v>11</v>
      </c>
      <c r="D91" t="s">
        <v>32</v>
      </c>
      <c r="E91" t="str">
        <f>IFERROR(VLOOKUP(C91,'2_Master_Data'!$A:$D,2,FALSE),"Tidak Ditemukan")</f>
        <v>Bandung</v>
      </c>
      <c r="F91">
        <f>IFERROR(VLOOKUP(C91,'2_Master_Data'!$A:$D,3,FALSE),0)</f>
        <v>65</v>
      </c>
      <c r="G91" s="2">
        <f>IFERROR(VLOOKUP(C91,'2_Master_Data'!$A:$D,4,FALSE),0)</f>
        <v>6800</v>
      </c>
      <c r="H91" s="2">
        <f t="shared" si="3"/>
        <v>442000</v>
      </c>
      <c r="I91" t="str">
        <f>IFERROR(HLOOKUP(D91,'2_Master_Data'!$H$2:$Z$3,2,FALSE),"Tidak Ditemukan")</f>
        <v>On-Time (Tepat Waktu)</v>
      </c>
      <c r="J91" s="3">
        <v>2851</v>
      </c>
      <c r="K91" t="str">
        <f t="shared" si="4"/>
        <v>Jarak Dekat</v>
      </c>
      <c r="L91" s="2">
        <f t="shared" si="5"/>
        <v>50000</v>
      </c>
    </row>
    <row r="92" spans="1:12">
      <c r="A92" t="s">
        <v>205</v>
      </c>
      <c r="B92" t="s">
        <v>206</v>
      </c>
      <c r="C92" t="s">
        <v>15</v>
      </c>
      <c r="D92" t="s">
        <v>34</v>
      </c>
      <c r="E92" t="str">
        <f>IFERROR(VLOOKUP(C92,'2_Master_Data'!$A:$D,2,FALSE),"Tidak Ditemukan")</f>
        <v>Garut</v>
      </c>
      <c r="F92">
        <f>IFERROR(VLOOKUP(C92,'2_Master_Data'!$A:$D,3,FALSE),0)</f>
        <v>130</v>
      </c>
      <c r="G92" s="2">
        <f>IFERROR(VLOOKUP(C92,'2_Master_Data'!$A:$D,4,FALSE),0)</f>
        <v>6800</v>
      </c>
      <c r="H92" s="2">
        <f t="shared" si="3"/>
        <v>884000</v>
      </c>
      <c r="I92" t="str">
        <f>IFERROR(HLOOKUP(D92,'2_Master_Data'!$H$2:$Z$3,2,FALSE),"Tidak Ditemukan")</f>
        <v>Failed (Gagal Kirim)</v>
      </c>
      <c r="J92" s="3">
        <v>1665</v>
      </c>
      <c r="K92" t="str">
        <f t="shared" si="4"/>
        <v>Jarak Jauh</v>
      </c>
      <c r="L92" s="2">
        <f t="shared" si="5"/>
        <v>-50000</v>
      </c>
    </row>
    <row r="93" spans="1:12">
      <c r="A93" t="s">
        <v>207</v>
      </c>
      <c r="B93" t="s">
        <v>200</v>
      </c>
      <c r="C93" t="s">
        <v>18</v>
      </c>
      <c r="D93" t="s">
        <v>32</v>
      </c>
      <c r="E93" t="str">
        <f>IFERROR(VLOOKUP(C93,'2_Master_Data'!$A:$D,2,FALSE),"Tidak Ditemukan")</f>
        <v>Cirebon</v>
      </c>
      <c r="F93">
        <f>IFERROR(VLOOKUP(C93,'2_Master_Data'!$A:$D,3,FALSE),0)</f>
        <v>220</v>
      </c>
      <c r="G93" s="2">
        <f>IFERROR(VLOOKUP(C93,'2_Master_Data'!$A:$D,4,FALSE),0)</f>
        <v>6800</v>
      </c>
      <c r="H93" s="2">
        <f t="shared" si="3"/>
        <v>1496000</v>
      </c>
      <c r="I93" t="str">
        <f>IFERROR(HLOOKUP(D93,'2_Master_Data'!$H$2:$Z$3,2,FALSE),"Tidak Ditemukan")</f>
        <v>On-Time (Tepat Waktu)</v>
      </c>
      <c r="J93" s="3">
        <v>4362</v>
      </c>
      <c r="K93" t="str">
        <f t="shared" si="4"/>
        <v>Jarak Jauh</v>
      </c>
      <c r="L93" s="2">
        <f t="shared" si="5"/>
        <v>50000</v>
      </c>
    </row>
    <row r="94" spans="1:12">
      <c r="A94" t="s">
        <v>208</v>
      </c>
      <c r="B94" t="s">
        <v>87</v>
      </c>
      <c r="C94" t="s">
        <v>16</v>
      </c>
      <c r="D94" t="s">
        <v>34</v>
      </c>
      <c r="E94" t="str">
        <f>IFERROR(VLOOKUP(C94,'2_Master_Data'!$A:$D,2,FALSE),"Tidak Ditemukan")</f>
        <v>Sukabumi</v>
      </c>
      <c r="F94">
        <f>IFERROR(VLOOKUP(C94,'2_Master_Data'!$A:$D,3,FALSE),0)</f>
        <v>45</v>
      </c>
      <c r="G94" s="2">
        <f>IFERROR(VLOOKUP(C94,'2_Master_Data'!$A:$D,4,FALSE),0)</f>
        <v>6800</v>
      </c>
      <c r="H94" s="2">
        <f t="shared" si="3"/>
        <v>306000</v>
      </c>
      <c r="I94" t="str">
        <f>IFERROR(HLOOKUP(D94,'2_Master_Data'!$H$2:$Z$3,2,FALSE),"Tidak Ditemukan")</f>
        <v>Failed (Gagal Kirim)</v>
      </c>
      <c r="J94" s="3">
        <v>4656</v>
      </c>
      <c r="K94" t="str">
        <f t="shared" si="4"/>
        <v>Jarak Dekat</v>
      </c>
      <c r="L94" s="2">
        <f t="shared" si="5"/>
        <v>-50000</v>
      </c>
    </row>
    <row r="95" spans="1:12">
      <c r="A95" t="s">
        <v>209</v>
      </c>
      <c r="B95" t="s">
        <v>210</v>
      </c>
      <c r="C95" t="s">
        <v>13</v>
      </c>
      <c r="D95" t="s">
        <v>32</v>
      </c>
      <c r="E95" t="str">
        <f>IFERROR(VLOOKUP(C95,'2_Master_Data'!$A:$D,2,FALSE),"Tidak Ditemukan")</f>
        <v>Bogor</v>
      </c>
      <c r="F95">
        <f>IFERROR(VLOOKUP(C95,'2_Master_Data'!$A:$D,3,FALSE),0)</f>
        <v>80</v>
      </c>
      <c r="G95" s="2">
        <f>IFERROR(VLOOKUP(C95,'2_Master_Data'!$A:$D,4,FALSE),0)</f>
        <v>6800</v>
      </c>
      <c r="H95" s="2">
        <f t="shared" si="3"/>
        <v>544000</v>
      </c>
      <c r="I95" t="str">
        <f>IFERROR(HLOOKUP(D95,'2_Master_Data'!$H$2:$Z$3,2,FALSE),"Tidak Ditemukan")</f>
        <v>On-Time (Tepat Waktu)</v>
      </c>
      <c r="J95" s="3">
        <v>7154</v>
      </c>
      <c r="K95" t="str">
        <f t="shared" si="4"/>
        <v>Jarak Dekat</v>
      </c>
      <c r="L95" s="2">
        <f t="shared" si="5"/>
        <v>50000</v>
      </c>
    </row>
    <row r="96" spans="1:12">
      <c r="A96" t="s">
        <v>211</v>
      </c>
      <c r="B96" t="s">
        <v>107</v>
      </c>
      <c r="C96" t="s">
        <v>16</v>
      </c>
      <c r="D96" t="s">
        <v>32</v>
      </c>
      <c r="E96" t="str">
        <f>IFERROR(VLOOKUP(C96,'2_Master_Data'!$A:$D,2,FALSE),"Tidak Ditemukan")</f>
        <v>Sukabumi</v>
      </c>
      <c r="F96">
        <f>IFERROR(VLOOKUP(C96,'2_Master_Data'!$A:$D,3,FALSE),0)</f>
        <v>45</v>
      </c>
      <c r="G96" s="2">
        <f>IFERROR(VLOOKUP(C96,'2_Master_Data'!$A:$D,4,FALSE),0)</f>
        <v>6800</v>
      </c>
      <c r="H96" s="2">
        <f t="shared" si="3"/>
        <v>306000</v>
      </c>
      <c r="I96" t="str">
        <f>IFERROR(HLOOKUP(D96,'2_Master_Data'!$H$2:$Z$3,2,FALSE),"Tidak Ditemukan")</f>
        <v>On-Time (Tepat Waktu)</v>
      </c>
      <c r="J96" s="3">
        <v>5699</v>
      </c>
      <c r="K96" t="str">
        <f t="shared" si="4"/>
        <v>Jarak Dekat</v>
      </c>
      <c r="L96" s="2">
        <f t="shared" si="5"/>
        <v>50000</v>
      </c>
    </row>
    <row r="97" spans="1:12">
      <c r="A97" t="s">
        <v>212</v>
      </c>
      <c r="B97" t="s">
        <v>213</v>
      </c>
      <c r="C97" t="s">
        <v>15</v>
      </c>
      <c r="D97" t="s">
        <v>32</v>
      </c>
      <c r="E97" t="str">
        <f>IFERROR(VLOOKUP(C97,'2_Master_Data'!$A:$D,2,FALSE),"Tidak Ditemukan")</f>
        <v>Garut</v>
      </c>
      <c r="F97">
        <f>IFERROR(VLOOKUP(C97,'2_Master_Data'!$A:$D,3,FALSE),0)</f>
        <v>130</v>
      </c>
      <c r="G97" s="2">
        <f>IFERROR(VLOOKUP(C97,'2_Master_Data'!$A:$D,4,FALSE),0)</f>
        <v>6800</v>
      </c>
      <c r="H97" s="2">
        <f t="shared" si="3"/>
        <v>884000</v>
      </c>
      <c r="I97" t="str">
        <f>IFERROR(HLOOKUP(D97,'2_Master_Data'!$H$2:$Z$3,2,FALSE),"Tidak Ditemukan")</f>
        <v>On-Time (Tepat Waktu)</v>
      </c>
      <c r="J97" s="3">
        <v>3774</v>
      </c>
      <c r="K97" t="str">
        <f t="shared" si="4"/>
        <v>Jarak Jauh</v>
      </c>
      <c r="L97" s="2">
        <f t="shared" si="5"/>
        <v>50000</v>
      </c>
    </row>
    <row r="98" spans="1:12">
      <c r="A98" t="s">
        <v>214</v>
      </c>
      <c r="B98" t="s">
        <v>215</v>
      </c>
      <c r="C98" t="s">
        <v>17</v>
      </c>
      <c r="D98" t="s">
        <v>34</v>
      </c>
      <c r="E98" t="str">
        <f>IFERROR(VLOOKUP(C98,'2_Master_Data'!$A:$D,2,FALSE),"Tidak Ditemukan")</f>
        <v>Tasikmalaya</v>
      </c>
      <c r="F98">
        <f>IFERROR(VLOOKUP(C98,'2_Master_Data'!$A:$D,3,FALSE),0)</f>
        <v>160</v>
      </c>
      <c r="G98" s="2">
        <f>IFERROR(VLOOKUP(C98,'2_Master_Data'!$A:$D,4,FALSE),0)</f>
        <v>6800</v>
      </c>
      <c r="H98" s="2">
        <f t="shared" si="3"/>
        <v>1088000</v>
      </c>
      <c r="I98" t="str">
        <f>IFERROR(HLOOKUP(D98,'2_Master_Data'!$H$2:$Z$3,2,FALSE),"Tidak Ditemukan")</f>
        <v>Failed (Gagal Kirim)</v>
      </c>
      <c r="J98" s="3">
        <v>3752</v>
      </c>
      <c r="K98" t="str">
        <f t="shared" si="4"/>
        <v>Jarak Jauh</v>
      </c>
      <c r="L98" s="2">
        <f t="shared" si="5"/>
        <v>-50000</v>
      </c>
    </row>
    <row r="99" spans="1:12">
      <c r="A99" t="s">
        <v>216</v>
      </c>
      <c r="B99" t="s">
        <v>217</v>
      </c>
      <c r="C99" t="s">
        <v>12</v>
      </c>
      <c r="D99" t="s">
        <v>32</v>
      </c>
      <c r="E99" t="str">
        <f>IFERROR(VLOOKUP(C99,'2_Master_Data'!$A:$D,2,FALSE),"Tidak Ditemukan")</f>
        <v>Bukittinggi</v>
      </c>
      <c r="F99">
        <f>IFERROR(VLOOKUP(C99,'2_Master_Data'!$A:$D,3,FALSE),0)</f>
        <v>1200</v>
      </c>
      <c r="G99" s="2">
        <f>IFERROR(VLOOKUP(C99,'2_Master_Data'!$A:$D,4,FALSE),0)</f>
        <v>6800</v>
      </c>
      <c r="H99" s="2">
        <f t="shared" si="3"/>
        <v>8160000</v>
      </c>
      <c r="I99" t="str">
        <f>IFERROR(HLOOKUP(D99,'2_Master_Data'!$H$2:$Z$3,2,FALSE),"Tidak Ditemukan")</f>
        <v>On-Time (Tepat Waktu)</v>
      </c>
      <c r="J99" s="3">
        <v>1002</v>
      </c>
      <c r="K99" t="str">
        <f t="shared" si="4"/>
        <v>Jarak Jauh</v>
      </c>
      <c r="L99" s="2">
        <f t="shared" si="5"/>
        <v>50000</v>
      </c>
    </row>
    <row r="100" spans="1:12">
      <c r="A100" t="s">
        <v>218</v>
      </c>
      <c r="B100" t="s">
        <v>191</v>
      </c>
      <c r="C100" t="s">
        <v>19</v>
      </c>
      <c r="D100" t="s">
        <v>32</v>
      </c>
      <c r="E100" t="str">
        <f>IFERROR(VLOOKUP(C100,'2_Master_Data'!$A:$D,2,FALSE),"Tidak Ditemukan")</f>
        <v>Purwakarta</v>
      </c>
      <c r="F100">
        <f>IFERROR(VLOOKUP(C100,'2_Master_Data'!$A:$D,3,FALSE),0)</f>
        <v>95</v>
      </c>
      <c r="G100" s="2">
        <f>IFERROR(VLOOKUP(C100,'2_Master_Data'!$A:$D,4,FALSE),0)</f>
        <v>6800</v>
      </c>
      <c r="H100" s="2">
        <f t="shared" si="3"/>
        <v>646000</v>
      </c>
      <c r="I100" t="str">
        <f>IFERROR(HLOOKUP(D100,'2_Master_Data'!$H$2:$Z$3,2,FALSE),"Tidak Ditemukan")</f>
        <v>On-Time (Tepat Waktu)</v>
      </c>
      <c r="J100" s="3">
        <v>1907</v>
      </c>
      <c r="K100" t="str">
        <f t="shared" si="4"/>
        <v>Jarak Dekat</v>
      </c>
      <c r="L100" s="2">
        <f t="shared" si="5"/>
        <v>50000</v>
      </c>
    </row>
    <row r="101" spans="1:12">
      <c r="A101" t="s">
        <v>219</v>
      </c>
      <c r="B101" t="s">
        <v>213</v>
      </c>
      <c r="C101" t="s">
        <v>19</v>
      </c>
      <c r="D101" t="s">
        <v>32</v>
      </c>
      <c r="E101" t="str">
        <f>IFERROR(VLOOKUP(C101,'2_Master_Data'!$A:$D,2,FALSE),"Tidak Ditemukan")</f>
        <v>Purwakarta</v>
      </c>
      <c r="F101">
        <f>IFERROR(VLOOKUP(C101,'2_Master_Data'!$A:$D,3,FALSE),0)</f>
        <v>95</v>
      </c>
      <c r="G101" s="2">
        <f>IFERROR(VLOOKUP(C101,'2_Master_Data'!$A:$D,4,FALSE),0)</f>
        <v>6800</v>
      </c>
      <c r="H101" s="2">
        <f t="shared" si="3"/>
        <v>646000</v>
      </c>
      <c r="I101" t="str">
        <f>IFERROR(HLOOKUP(D101,'2_Master_Data'!$H$2:$Z$3,2,FALSE),"Tidak Ditemukan")</f>
        <v>On-Time (Tepat Waktu)</v>
      </c>
      <c r="J101" s="3">
        <v>2182</v>
      </c>
      <c r="K101" t="str">
        <f t="shared" si="4"/>
        <v>Jarak Dekat</v>
      </c>
      <c r="L101" s="2">
        <f t="shared" si="5"/>
        <v>50000</v>
      </c>
    </row>
    <row r="102" spans="1:12">
      <c r="A102" t="s">
        <v>220</v>
      </c>
      <c r="B102" t="s">
        <v>132</v>
      </c>
      <c r="C102" t="s">
        <v>13</v>
      </c>
      <c r="D102" t="s">
        <v>32</v>
      </c>
      <c r="E102" t="str">
        <f>IFERROR(VLOOKUP(C102,'2_Master_Data'!$A:$D,2,FALSE),"Tidak Ditemukan")</f>
        <v>Bogor</v>
      </c>
      <c r="F102">
        <f>IFERROR(VLOOKUP(C102,'2_Master_Data'!$A:$D,3,FALSE),0)</f>
        <v>80</v>
      </c>
      <c r="G102" s="2">
        <f>IFERROR(VLOOKUP(C102,'2_Master_Data'!$A:$D,4,FALSE),0)</f>
        <v>6800</v>
      </c>
      <c r="H102" s="2">
        <f t="shared" si="3"/>
        <v>544000</v>
      </c>
      <c r="I102" t="str">
        <f>IFERROR(HLOOKUP(D102,'2_Master_Data'!$H$2:$Z$3,2,FALSE),"Tidak Ditemukan")</f>
        <v>On-Time (Tepat Waktu)</v>
      </c>
      <c r="J102" s="3">
        <v>4824</v>
      </c>
      <c r="K102" t="str">
        <f t="shared" si="4"/>
        <v>Jarak Dekat</v>
      </c>
      <c r="L102" s="2">
        <f t="shared" si="5"/>
        <v>50000</v>
      </c>
    </row>
    <row r="103" spans="1:12">
      <c r="A103" t="s">
        <v>221</v>
      </c>
      <c r="B103" t="s">
        <v>77</v>
      </c>
      <c r="C103" t="s">
        <v>15</v>
      </c>
      <c r="D103" t="s">
        <v>32</v>
      </c>
      <c r="E103" t="str">
        <f>IFERROR(VLOOKUP(C103,'2_Master_Data'!$A:$D,2,FALSE),"Tidak Ditemukan")</f>
        <v>Garut</v>
      </c>
      <c r="F103">
        <f>IFERROR(VLOOKUP(C103,'2_Master_Data'!$A:$D,3,FALSE),0)</f>
        <v>130</v>
      </c>
      <c r="G103" s="2">
        <f>IFERROR(VLOOKUP(C103,'2_Master_Data'!$A:$D,4,FALSE),0)</f>
        <v>6800</v>
      </c>
      <c r="H103" s="2">
        <f t="shared" si="3"/>
        <v>884000</v>
      </c>
      <c r="I103" t="str">
        <f>IFERROR(HLOOKUP(D103,'2_Master_Data'!$H$2:$Z$3,2,FALSE),"Tidak Ditemukan")</f>
        <v>On-Time (Tepat Waktu)</v>
      </c>
      <c r="J103" s="3">
        <v>2324</v>
      </c>
      <c r="K103" t="str">
        <f t="shared" si="4"/>
        <v>Jarak Jauh</v>
      </c>
      <c r="L103" s="2">
        <f t="shared" si="5"/>
        <v>50000</v>
      </c>
    </row>
    <row r="104" spans="1:12">
      <c r="A104" t="s">
        <v>222</v>
      </c>
      <c r="B104" t="s">
        <v>65</v>
      </c>
      <c r="C104" t="s">
        <v>18</v>
      </c>
      <c r="D104" t="s">
        <v>32</v>
      </c>
      <c r="E104" t="str">
        <f>IFERROR(VLOOKUP(C104,'2_Master_Data'!$A:$D,2,FALSE),"Tidak Ditemukan")</f>
        <v>Cirebon</v>
      </c>
      <c r="F104">
        <f>IFERROR(VLOOKUP(C104,'2_Master_Data'!$A:$D,3,FALSE),0)</f>
        <v>220</v>
      </c>
      <c r="G104" s="2">
        <f>IFERROR(VLOOKUP(C104,'2_Master_Data'!$A:$D,4,FALSE),0)</f>
        <v>6800</v>
      </c>
      <c r="H104" s="2">
        <f t="shared" si="3"/>
        <v>1496000</v>
      </c>
      <c r="I104" t="str">
        <f>IFERROR(HLOOKUP(D104,'2_Master_Data'!$H$2:$Z$3,2,FALSE),"Tidak Ditemukan")</f>
        <v>On-Time (Tepat Waktu)</v>
      </c>
      <c r="J104" s="3">
        <v>2145</v>
      </c>
      <c r="K104" t="str">
        <f t="shared" si="4"/>
        <v>Jarak Jauh</v>
      </c>
      <c r="L104" s="2">
        <f t="shared" si="5"/>
        <v>50000</v>
      </c>
    </row>
    <row r="105" spans="1:12">
      <c r="A105" t="s">
        <v>223</v>
      </c>
      <c r="B105" t="s">
        <v>200</v>
      </c>
      <c r="C105" t="s">
        <v>12</v>
      </c>
      <c r="D105" t="s">
        <v>32</v>
      </c>
      <c r="E105" t="str">
        <f>IFERROR(VLOOKUP(C105,'2_Master_Data'!$A:$D,2,FALSE),"Tidak Ditemukan")</f>
        <v>Bukittinggi</v>
      </c>
      <c r="F105">
        <f>IFERROR(VLOOKUP(C105,'2_Master_Data'!$A:$D,3,FALSE),0)</f>
        <v>1200</v>
      </c>
      <c r="G105" s="2">
        <f>IFERROR(VLOOKUP(C105,'2_Master_Data'!$A:$D,4,FALSE),0)</f>
        <v>6800</v>
      </c>
      <c r="H105" s="2">
        <f t="shared" si="3"/>
        <v>8160000</v>
      </c>
      <c r="I105" t="str">
        <f>IFERROR(HLOOKUP(D105,'2_Master_Data'!$H$2:$Z$3,2,FALSE),"Tidak Ditemukan")</f>
        <v>On-Time (Tepat Waktu)</v>
      </c>
      <c r="J105" s="3">
        <v>4758</v>
      </c>
      <c r="K105" t="str">
        <f t="shared" si="4"/>
        <v>Jarak Jauh</v>
      </c>
      <c r="L105" s="2">
        <f t="shared" si="5"/>
        <v>50000</v>
      </c>
    </row>
    <row r="106" spans="1:12">
      <c r="A106" t="s">
        <v>224</v>
      </c>
      <c r="B106" t="s">
        <v>225</v>
      </c>
      <c r="C106" t="s">
        <v>14</v>
      </c>
      <c r="D106" t="s">
        <v>32</v>
      </c>
      <c r="E106" t="str">
        <f>IFERROR(VLOOKUP(C106,'2_Master_Data'!$A:$D,2,FALSE),"Tidak Ditemukan")</f>
        <v>Jakarta</v>
      </c>
      <c r="F106">
        <f>IFERROR(VLOOKUP(C106,'2_Master_Data'!$A:$D,3,FALSE),0)</f>
        <v>110</v>
      </c>
      <c r="G106" s="2">
        <f>IFERROR(VLOOKUP(C106,'2_Master_Data'!$A:$D,4,FALSE),0)</f>
        <v>6800</v>
      </c>
      <c r="H106" s="2">
        <f t="shared" si="3"/>
        <v>748000</v>
      </c>
      <c r="I106" t="str">
        <f>IFERROR(HLOOKUP(D106,'2_Master_Data'!$H$2:$Z$3,2,FALSE),"Tidak Ditemukan")</f>
        <v>On-Time (Tepat Waktu)</v>
      </c>
      <c r="J106" s="3">
        <v>2445</v>
      </c>
      <c r="K106" t="str">
        <f t="shared" si="4"/>
        <v>Jarak Jauh</v>
      </c>
      <c r="L106" s="2">
        <f t="shared" si="5"/>
        <v>50000</v>
      </c>
    </row>
    <row r="107" spans="1:12">
      <c r="A107" t="s">
        <v>226</v>
      </c>
      <c r="B107" t="s">
        <v>200</v>
      </c>
      <c r="C107" t="s">
        <v>18</v>
      </c>
      <c r="D107" t="s">
        <v>33</v>
      </c>
      <c r="E107" t="str">
        <f>IFERROR(VLOOKUP(C107,'2_Master_Data'!$A:$D,2,FALSE),"Tidak Ditemukan")</f>
        <v>Cirebon</v>
      </c>
      <c r="F107">
        <f>IFERROR(VLOOKUP(C107,'2_Master_Data'!$A:$D,3,FALSE),0)</f>
        <v>220</v>
      </c>
      <c r="G107" s="2">
        <f>IFERROR(VLOOKUP(C107,'2_Master_Data'!$A:$D,4,FALSE),0)</f>
        <v>6800</v>
      </c>
      <c r="H107" s="2">
        <f t="shared" si="3"/>
        <v>1496000</v>
      </c>
      <c r="I107" t="str">
        <f>IFERROR(HLOOKUP(D107,'2_Master_Data'!$H$2:$Z$3,2,FALSE),"Tidak Ditemukan")</f>
        <v>Late (Terlambat)</v>
      </c>
      <c r="J107" s="3">
        <v>3904</v>
      </c>
      <c r="K107" t="str">
        <f t="shared" si="4"/>
        <v>Jarak Jauh</v>
      </c>
      <c r="L107" s="2">
        <f t="shared" si="5"/>
        <v>-20000</v>
      </c>
    </row>
    <row r="108" spans="1:12">
      <c r="A108" t="s">
        <v>227</v>
      </c>
      <c r="B108" t="s">
        <v>228</v>
      </c>
      <c r="C108" t="s">
        <v>12</v>
      </c>
      <c r="D108" t="s">
        <v>32</v>
      </c>
      <c r="E108" t="str">
        <f>IFERROR(VLOOKUP(C108,'2_Master_Data'!$A:$D,2,FALSE),"Tidak Ditemukan")</f>
        <v>Bukittinggi</v>
      </c>
      <c r="F108">
        <f>IFERROR(VLOOKUP(C108,'2_Master_Data'!$A:$D,3,FALSE),0)</f>
        <v>1200</v>
      </c>
      <c r="G108" s="2">
        <f>IFERROR(VLOOKUP(C108,'2_Master_Data'!$A:$D,4,FALSE),0)</f>
        <v>6800</v>
      </c>
      <c r="H108" s="2">
        <f t="shared" si="3"/>
        <v>8160000</v>
      </c>
      <c r="I108" t="str">
        <f>IFERROR(HLOOKUP(D108,'2_Master_Data'!$H$2:$Z$3,2,FALSE),"Tidak Ditemukan")</f>
        <v>On-Time (Tepat Waktu)</v>
      </c>
      <c r="J108" s="3">
        <v>1421</v>
      </c>
      <c r="K108" t="str">
        <f t="shared" si="4"/>
        <v>Jarak Jauh</v>
      </c>
      <c r="L108" s="2">
        <f t="shared" si="5"/>
        <v>50000</v>
      </c>
    </row>
    <row r="109" spans="1:12">
      <c r="A109" t="s">
        <v>229</v>
      </c>
      <c r="B109" t="s">
        <v>230</v>
      </c>
      <c r="C109" t="s">
        <v>13</v>
      </c>
      <c r="D109" t="s">
        <v>33</v>
      </c>
      <c r="E109" t="str">
        <f>IFERROR(VLOOKUP(C109,'2_Master_Data'!$A:$D,2,FALSE),"Tidak Ditemukan")</f>
        <v>Bogor</v>
      </c>
      <c r="F109">
        <f>IFERROR(VLOOKUP(C109,'2_Master_Data'!$A:$D,3,FALSE),0)</f>
        <v>80</v>
      </c>
      <c r="G109" s="2">
        <f>IFERROR(VLOOKUP(C109,'2_Master_Data'!$A:$D,4,FALSE),0)</f>
        <v>6800</v>
      </c>
      <c r="H109" s="2">
        <f t="shared" si="3"/>
        <v>544000</v>
      </c>
      <c r="I109" t="str">
        <f>IFERROR(HLOOKUP(D109,'2_Master_Data'!$H$2:$Z$3,2,FALSE),"Tidak Ditemukan")</f>
        <v>Late (Terlambat)</v>
      </c>
      <c r="J109" s="3">
        <v>1870</v>
      </c>
      <c r="K109" t="str">
        <f t="shared" si="4"/>
        <v>Jarak Dekat</v>
      </c>
      <c r="L109" s="2">
        <f t="shared" si="5"/>
        <v>-20000</v>
      </c>
    </row>
    <row r="110" spans="1:12">
      <c r="A110" t="s">
        <v>231</v>
      </c>
      <c r="B110" t="s">
        <v>141</v>
      </c>
      <c r="C110" t="s">
        <v>19</v>
      </c>
      <c r="D110" t="s">
        <v>32</v>
      </c>
      <c r="E110" t="str">
        <f>IFERROR(VLOOKUP(C110,'2_Master_Data'!$A:$D,2,FALSE),"Tidak Ditemukan")</f>
        <v>Purwakarta</v>
      </c>
      <c r="F110">
        <f>IFERROR(VLOOKUP(C110,'2_Master_Data'!$A:$D,3,FALSE),0)</f>
        <v>95</v>
      </c>
      <c r="G110" s="2">
        <f>IFERROR(VLOOKUP(C110,'2_Master_Data'!$A:$D,4,FALSE),0)</f>
        <v>6800</v>
      </c>
      <c r="H110" s="2">
        <f t="shared" si="3"/>
        <v>646000</v>
      </c>
      <c r="I110" t="str">
        <f>IFERROR(HLOOKUP(D110,'2_Master_Data'!$H$2:$Z$3,2,FALSE),"Tidak Ditemukan")</f>
        <v>On-Time (Tepat Waktu)</v>
      </c>
      <c r="J110" s="3">
        <v>2791</v>
      </c>
      <c r="K110" t="str">
        <f t="shared" si="4"/>
        <v>Jarak Dekat</v>
      </c>
      <c r="L110" s="2">
        <f t="shared" si="5"/>
        <v>50000</v>
      </c>
    </row>
    <row r="111" spans="1:12">
      <c r="A111" t="s">
        <v>232</v>
      </c>
      <c r="B111" t="s">
        <v>225</v>
      </c>
      <c r="C111" t="s">
        <v>17</v>
      </c>
      <c r="D111" t="s">
        <v>34</v>
      </c>
      <c r="E111" t="str">
        <f>IFERROR(VLOOKUP(C111,'2_Master_Data'!$A:$D,2,FALSE),"Tidak Ditemukan")</f>
        <v>Tasikmalaya</v>
      </c>
      <c r="F111">
        <f>IFERROR(VLOOKUP(C111,'2_Master_Data'!$A:$D,3,FALSE),0)</f>
        <v>160</v>
      </c>
      <c r="G111" s="2">
        <f>IFERROR(VLOOKUP(C111,'2_Master_Data'!$A:$D,4,FALSE),0)</f>
        <v>6800</v>
      </c>
      <c r="H111" s="2">
        <f t="shared" si="3"/>
        <v>1088000</v>
      </c>
      <c r="I111" t="str">
        <f>IFERROR(HLOOKUP(D111,'2_Master_Data'!$H$2:$Z$3,2,FALSE),"Tidak Ditemukan")</f>
        <v>Failed (Gagal Kirim)</v>
      </c>
      <c r="J111" s="3">
        <v>1831</v>
      </c>
      <c r="K111" t="str">
        <f t="shared" si="4"/>
        <v>Jarak Jauh</v>
      </c>
      <c r="L111" s="2">
        <f t="shared" si="5"/>
        <v>-50000</v>
      </c>
    </row>
    <row r="112" spans="1:12">
      <c r="A112" t="s">
        <v>233</v>
      </c>
      <c r="B112" t="s">
        <v>69</v>
      </c>
      <c r="C112" t="s">
        <v>16</v>
      </c>
      <c r="D112" t="s">
        <v>32</v>
      </c>
      <c r="E112" t="str">
        <f>IFERROR(VLOOKUP(C112,'2_Master_Data'!$A:$D,2,FALSE),"Tidak Ditemukan")</f>
        <v>Sukabumi</v>
      </c>
      <c r="F112">
        <f>IFERROR(VLOOKUP(C112,'2_Master_Data'!$A:$D,3,FALSE),0)</f>
        <v>45</v>
      </c>
      <c r="G112" s="2">
        <f>IFERROR(VLOOKUP(C112,'2_Master_Data'!$A:$D,4,FALSE),0)</f>
        <v>6800</v>
      </c>
      <c r="H112" s="2">
        <f t="shared" si="3"/>
        <v>306000</v>
      </c>
      <c r="I112" t="str">
        <f>IFERROR(HLOOKUP(D112,'2_Master_Data'!$H$2:$Z$3,2,FALSE),"Tidak Ditemukan")</f>
        <v>On-Time (Tepat Waktu)</v>
      </c>
      <c r="J112" s="3">
        <v>7663</v>
      </c>
      <c r="K112" t="str">
        <f t="shared" si="4"/>
        <v>Jarak Dekat</v>
      </c>
      <c r="L112" s="2">
        <f t="shared" si="5"/>
        <v>50000</v>
      </c>
    </row>
    <row r="113" spans="1:12">
      <c r="A113" t="s">
        <v>234</v>
      </c>
      <c r="B113" t="s">
        <v>176</v>
      </c>
      <c r="C113" t="s">
        <v>18</v>
      </c>
      <c r="D113" t="s">
        <v>32</v>
      </c>
      <c r="E113" t="str">
        <f>IFERROR(VLOOKUP(C113,'2_Master_Data'!$A:$D,2,FALSE),"Tidak Ditemukan")</f>
        <v>Cirebon</v>
      </c>
      <c r="F113">
        <f>IFERROR(VLOOKUP(C113,'2_Master_Data'!$A:$D,3,FALSE),0)</f>
        <v>220</v>
      </c>
      <c r="G113" s="2">
        <f>IFERROR(VLOOKUP(C113,'2_Master_Data'!$A:$D,4,FALSE),0)</f>
        <v>6800</v>
      </c>
      <c r="H113" s="2">
        <f t="shared" si="3"/>
        <v>1496000</v>
      </c>
      <c r="I113" t="str">
        <f>IFERROR(HLOOKUP(D113,'2_Master_Data'!$H$2:$Z$3,2,FALSE),"Tidak Ditemukan")</f>
        <v>On-Time (Tepat Waktu)</v>
      </c>
      <c r="J113" s="3">
        <v>6125</v>
      </c>
      <c r="K113" t="str">
        <f t="shared" si="4"/>
        <v>Jarak Jauh</v>
      </c>
      <c r="L113" s="2">
        <f t="shared" si="5"/>
        <v>50000</v>
      </c>
    </row>
    <row r="114" spans="1:12">
      <c r="A114" t="s">
        <v>235</v>
      </c>
      <c r="B114" t="s">
        <v>83</v>
      </c>
      <c r="C114" t="s">
        <v>17</v>
      </c>
      <c r="D114" t="s">
        <v>34</v>
      </c>
      <c r="E114" t="str">
        <f>IFERROR(VLOOKUP(C114,'2_Master_Data'!$A:$D,2,FALSE),"Tidak Ditemukan")</f>
        <v>Tasikmalaya</v>
      </c>
      <c r="F114">
        <f>IFERROR(VLOOKUP(C114,'2_Master_Data'!$A:$D,3,FALSE),0)</f>
        <v>160</v>
      </c>
      <c r="G114" s="2">
        <f>IFERROR(VLOOKUP(C114,'2_Master_Data'!$A:$D,4,FALSE),0)</f>
        <v>6800</v>
      </c>
      <c r="H114" s="2">
        <f t="shared" si="3"/>
        <v>1088000</v>
      </c>
      <c r="I114" t="str">
        <f>IFERROR(HLOOKUP(D114,'2_Master_Data'!$H$2:$Z$3,2,FALSE),"Tidak Ditemukan")</f>
        <v>Failed (Gagal Kirim)</v>
      </c>
      <c r="J114" s="3">
        <v>2193</v>
      </c>
      <c r="K114" t="str">
        <f t="shared" si="4"/>
        <v>Jarak Jauh</v>
      </c>
      <c r="L114" s="2">
        <f t="shared" si="5"/>
        <v>-50000</v>
      </c>
    </row>
    <row r="115" spans="1:12">
      <c r="A115" t="s">
        <v>236</v>
      </c>
      <c r="B115" t="s">
        <v>79</v>
      </c>
      <c r="C115" t="s">
        <v>19</v>
      </c>
      <c r="D115" t="s">
        <v>32</v>
      </c>
      <c r="E115" t="str">
        <f>IFERROR(VLOOKUP(C115,'2_Master_Data'!$A:$D,2,FALSE),"Tidak Ditemukan")</f>
        <v>Purwakarta</v>
      </c>
      <c r="F115">
        <f>IFERROR(VLOOKUP(C115,'2_Master_Data'!$A:$D,3,FALSE),0)</f>
        <v>95</v>
      </c>
      <c r="G115" s="2">
        <f>IFERROR(VLOOKUP(C115,'2_Master_Data'!$A:$D,4,FALSE),0)</f>
        <v>6800</v>
      </c>
      <c r="H115" s="2">
        <f t="shared" si="3"/>
        <v>646000</v>
      </c>
      <c r="I115" t="str">
        <f>IFERROR(HLOOKUP(D115,'2_Master_Data'!$H$2:$Z$3,2,FALSE),"Tidak Ditemukan")</f>
        <v>On-Time (Tepat Waktu)</v>
      </c>
      <c r="J115" s="3">
        <v>4960</v>
      </c>
      <c r="K115" t="str">
        <f t="shared" si="4"/>
        <v>Jarak Dekat</v>
      </c>
      <c r="L115" s="2">
        <f t="shared" si="5"/>
        <v>50000</v>
      </c>
    </row>
    <row r="116" spans="1:12">
      <c r="A116" t="s">
        <v>237</v>
      </c>
      <c r="B116" t="s">
        <v>107</v>
      </c>
      <c r="C116" t="s">
        <v>11</v>
      </c>
      <c r="D116" t="s">
        <v>32</v>
      </c>
      <c r="E116" t="str">
        <f>IFERROR(VLOOKUP(C116,'2_Master_Data'!$A:$D,2,FALSE),"Tidak Ditemukan")</f>
        <v>Bandung</v>
      </c>
      <c r="F116">
        <f>IFERROR(VLOOKUP(C116,'2_Master_Data'!$A:$D,3,FALSE),0)</f>
        <v>65</v>
      </c>
      <c r="G116" s="2">
        <f>IFERROR(VLOOKUP(C116,'2_Master_Data'!$A:$D,4,FALSE),0)</f>
        <v>6800</v>
      </c>
      <c r="H116" s="2">
        <f t="shared" si="3"/>
        <v>442000</v>
      </c>
      <c r="I116" t="str">
        <f>IFERROR(HLOOKUP(D116,'2_Master_Data'!$H$2:$Z$3,2,FALSE),"Tidak Ditemukan")</f>
        <v>On-Time (Tepat Waktu)</v>
      </c>
      <c r="J116" s="3">
        <v>4945</v>
      </c>
      <c r="K116" t="str">
        <f t="shared" si="4"/>
        <v>Jarak Dekat</v>
      </c>
      <c r="L116" s="2">
        <f t="shared" si="5"/>
        <v>50000</v>
      </c>
    </row>
    <row r="117" spans="1:12">
      <c r="A117" t="s">
        <v>238</v>
      </c>
      <c r="B117" t="s">
        <v>239</v>
      </c>
      <c r="C117" t="s">
        <v>15</v>
      </c>
      <c r="D117" t="s">
        <v>32</v>
      </c>
      <c r="E117" t="str">
        <f>IFERROR(VLOOKUP(C117,'2_Master_Data'!$A:$D,2,FALSE),"Tidak Ditemukan")</f>
        <v>Garut</v>
      </c>
      <c r="F117">
        <f>IFERROR(VLOOKUP(C117,'2_Master_Data'!$A:$D,3,FALSE),0)</f>
        <v>130</v>
      </c>
      <c r="G117" s="2">
        <f>IFERROR(VLOOKUP(C117,'2_Master_Data'!$A:$D,4,FALSE),0)</f>
        <v>6800</v>
      </c>
      <c r="H117" s="2">
        <f t="shared" si="3"/>
        <v>884000</v>
      </c>
      <c r="I117" t="str">
        <f>IFERROR(HLOOKUP(D117,'2_Master_Data'!$H$2:$Z$3,2,FALSE),"Tidak Ditemukan")</f>
        <v>On-Time (Tepat Waktu)</v>
      </c>
      <c r="J117" s="3">
        <v>1648</v>
      </c>
      <c r="K117" t="str">
        <f t="shared" si="4"/>
        <v>Jarak Jauh</v>
      </c>
      <c r="L117" s="2">
        <f t="shared" si="5"/>
        <v>50000</v>
      </c>
    </row>
    <row r="118" spans="1:12">
      <c r="A118" t="s">
        <v>240</v>
      </c>
      <c r="B118" t="s">
        <v>241</v>
      </c>
      <c r="C118" t="s">
        <v>12</v>
      </c>
      <c r="D118" t="s">
        <v>34</v>
      </c>
      <c r="E118" t="str">
        <f>IFERROR(VLOOKUP(C118,'2_Master_Data'!$A:$D,2,FALSE),"Tidak Ditemukan")</f>
        <v>Bukittinggi</v>
      </c>
      <c r="F118">
        <f>IFERROR(VLOOKUP(C118,'2_Master_Data'!$A:$D,3,FALSE),0)</f>
        <v>1200</v>
      </c>
      <c r="G118" s="2">
        <f>IFERROR(VLOOKUP(C118,'2_Master_Data'!$A:$D,4,FALSE),0)</f>
        <v>6800</v>
      </c>
      <c r="H118" s="2">
        <f t="shared" si="3"/>
        <v>8160000</v>
      </c>
      <c r="I118" t="str">
        <f>IFERROR(HLOOKUP(D118,'2_Master_Data'!$H$2:$Z$3,2,FALSE),"Tidak Ditemukan")</f>
        <v>Failed (Gagal Kirim)</v>
      </c>
      <c r="J118" s="3">
        <v>3921</v>
      </c>
      <c r="K118" t="str">
        <f t="shared" si="4"/>
        <v>Jarak Jauh</v>
      </c>
      <c r="L118" s="2">
        <f t="shared" si="5"/>
        <v>-50000</v>
      </c>
    </row>
    <row r="119" spans="1:12">
      <c r="A119" t="s">
        <v>242</v>
      </c>
      <c r="B119" t="s">
        <v>71</v>
      </c>
      <c r="C119" t="s">
        <v>16</v>
      </c>
      <c r="D119" t="s">
        <v>32</v>
      </c>
      <c r="E119" t="str">
        <f>IFERROR(VLOOKUP(C119,'2_Master_Data'!$A:$D,2,FALSE),"Tidak Ditemukan")</f>
        <v>Sukabumi</v>
      </c>
      <c r="F119">
        <f>IFERROR(VLOOKUP(C119,'2_Master_Data'!$A:$D,3,FALSE),0)</f>
        <v>45</v>
      </c>
      <c r="G119" s="2">
        <f>IFERROR(VLOOKUP(C119,'2_Master_Data'!$A:$D,4,FALSE),0)</f>
        <v>6800</v>
      </c>
      <c r="H119" s="2">
        <f t="shared" si="3"/>
        <v>306000</v>
      </c>
      <c r="I119" t="str">
        <f>IFERROR(HLOOKUP(D119,'2_Master_Data'!$H$2:$Z$3,2,FALSE),"Tidak Ditemukan")</f>
        <v>On-Time (Tepat Waktu)</v>
      </c>
      <c r="J119" s="3">
        <v>3264</v>
      </c>
      <c r="K119" t="str">
        <f t="shared" si="4"/>
        <v>Jarak Dekat</v>
      </c>
      <c r="L119" s="2">
        <f t="shared" si="5"/>
        <v>50000</v>
      </c>
    </row>
    <row r="120" spans="1:12">
      <c r="A120" t="s">
        <v>243</v>
      </c>
      <c r="B120" t="s">
        <v>158</v>
      </c>
      <c r="C120" t="s">
        <v>11</v>
      </c>
      <c r="D120" t="s">
        <v>34</v>
      </c>
      <c r="E120" t="str">
        <f>IFERROR(VLOOKUP(C120,'2_Master_Data'!$A:$D,2,FALSE),"Tidak Ditemukan")</f>
        <v>Bandung</v>
      </c>
      <c r="F120">
        <f>IFERROR(VLOOKUP(C120,'2_Master_Data'!$A:$D,3,FALSE),0)</f>
        <v>65</v>
      </c>
      <c r="G120" s="2">
        <f>IFERROR(VLOOKUP(C120,'2_Master_Data'!$A:$D,4,FALSE),0)</f>
        <v>6800</v>
      </c>
      <c r="H120" s="2">
        <f t="shared" si="3"/>
        <v>442000</v>
      </c>
      <c r="I120" t="str">
        <f>IFERROR(HLOOKUP(D120,'2_Master_Data'!$H$2:$Z$3,2,FALSE),"Tidak Ditemukan")</f>
        <v>Failed (Gagal Kirim)</v>
      </c>
      <c r="J120" s="3">
        <v>5605</v>
      </c>
      <c r="K120" t="str">
        <f t="shared" si="4"/>
        <v>Jarak Dekat</v>
      </c>
      <c r="L120" s="2">
        <f t="shared" si="5"/>
        <v>-50000</v>
      </c>
    </row>
    <row r="121" spans="1:12">
      <c r="A121" t="s">
        <v>244</v>
      </c>
      <c r="B121" t="s">
        <v>163</v>
      </c>
      <c r="C121" t="s">
        <v>15</v>
      </c>
      <c r="D121" t="s">
        <v>32</v>
      </c>
      <c r="E121" t="str">
        <f>IFERROR(VLOOKUP(C121,'2_Master_Data'!$A:$D,2,FALSE),"Tidak Ditemukan")</f>
        <v>Garut</v>
      </c>
      <c r="F121">
        <f>IFERROR(VLOOKUP(C121,'2_Master_Data'!$A:$D,3,FALSE),0)</f>
        <v>130</v>
      </c>
      <c r="G121" s="2">
        <f>IFERROR(VLOOKUP(C121,'2_Master_Data'!$A:$D,4,FALSE),0)</f>
        <v>6800</v>
      </c>
      <c r="H121" s="2">
        <f t="shared" si="3"/>
        <v>884000</v>
      </c>
      <c r="I121" t="str">
        <f>IFERROR(HLOOKUP(D121,'2_Master_Data'!$H$2:$Z$3,2,FALSE),"Tidak Ditemukan")</f>
        <v>On-Time (Tepat Waktu)</v>
      </c>
      <c r="J121" s="3">
        <v>5303</v>
      </c>
      <c r="K121" t="str">
        <f t="shared" si="4"/>
        <v>Jarak Jauh</v>
      </c>
      <c r="L121" s="2">
        <f t="shared" si="5"/>
        <v>50000</v>
      </c>
    </row>
    <row r="122" spans="1:12">
      <c r="A122" t="s">
        <v>245</v>
      </c>
      <c r="B122" t="s">
        <v>246</v>
      </c>
      <c r="C122" t="s">
        <v>14</v>
      </c>
      <c r="D122" t="s">
        <v>34</v>
      </c>
      <c r="E122" t="str">
        <f>IFERROR(VLOOKUP(C122,'2_Master_Data'!$A:$D,2,FALSE),"Tidak Ditemukan")</f>
        <v>Jakarta</v>
      </c>
      <c r="F122">
        <f>IFERROR(VLOOKUP(C122,'2_Master_Data'!$A:$D,3,FALSE),0)</f>
        <v>110</v>
      </c>
      <c r="G122" s="2">
        <f>IFERROR(VLOOKUP(C122,'2_Master_Data'!$A:$D,4,FALSE),0)</f>
        <v>6800</v>
      </c>
      <c r="H122" s="2">
        <f t="shared" si="3"/>
        <v>748000</v>
      </c>
      <c r="I122" t="str">
        <f>IFERROR(HLOOKUP(D122,'2_Master_Data'!$H$2:$Z$3,2,FALSE),"Tidak Ditemukan")</f>
        <v>Failed (Gagal Kirim)</v>
      </c>
      <c r="J122" s="3">
        <v>6838</v>
      </c>
      <c r="K122" t="str">
        <f t="shared" si="4"/>
        <v>Jarak Jauh</v>
      </c>
      <c r="L122" s="2">
        <f t="shared" si="5"/>
        <v>-50000</v>
      </c>
    </row>
    <row r="123" spans="1:12">
      <c r="A123" t="s">
        <v>247</v>
      </c>
      <c r="B123" t="s">
        <v>203</v>
      </c>
      <c r="C123" t="s">
        <v>17</v>
      </c>
      <c r="D123" t="s">
        <v>32</v>
      </c>
      <c r="E123" t="str">
        <f>IFERROR(VLOOKUP(C123,'2_Master_Data'!$A:$D,2,FALSE),"Tidak Ditemukan")</f>
        <v>Tasikmalaya</v>
      </c>
      <c r="F123">
        <f>IFERROR(VLOOKUP(C123,'2_Master_Data'!$A:$D,3,FALSE),0)</f>
        <v>160</v>
      </c>
      <c r="G123" s="2">
        <f>IFERROR(VLOOKUP(C123,'2_Master_Data'!$A:$D,4,FALSE),0)</f>
        <v>6800</v>
      </c>
      <c r="H123" s="2">
        <f t="shared" si="3"/>
        <v>1088000</v>
      </c>
      <c r="I123" t="str">
        <f>IFERROR(HLOOKUP(D123,'2_Master_Data'!$H$2:$Z$3,2,FALSE),"Tidak Ditemukan")</f>
        <v>On-Time (Tepat Waktu)</v>
      </c>
      <c r="J123" s="3">
        <v>3260</v>
      </c>
      <c r="K123" t="str">
        <f t="shared" si="4"/>
        <v>Jarak Jauh</v>
      </c>
      <c r="L123" s="2">
        <f t="shared" si="5"/>
        <v>50000</v>
      </c>
    </row>
    <row r="124" spans="1:12">
      <c r="A124" t="s">
        <v>248</v>
      </c>
      <c r="B124" t="s">
        <v>249</v>
      </c>
      <c r="C124" t="s">
        <v>14</v>
      </c>
      <c r="D124" t="s">
        <v>32</v>
      </c>
      <c r="E124" t="str">
        <f>IFERROR(VLOOKUP(C124,'2_Master_Data'!$A:$D,2,FALSE),"Tidak Ditemukan")</f>
        <v>Jakarta</v>
      </c>
      <c r="F124">
        <f>IFERROR(VLOOKUP(C124,'2_Master_Data'!$A:$D,3,FALSE),0)</f>
        <v>110</v>
      </c>
      <c r="G124" s="2">
        <f>IFERROR(VLOOKUP(C124,'2_Master_Data'!$A:$D,4,FALSE),0)</f>
        <v>6800</v>
      </c>
      <c r="H124" s="2">
        <f t="shared" si="3"/>
        <v>748000</v>
      </c>
      <c r="I124" t="str">
        <f>IFERROR(HLOOKUP(D124,'2_Master_Data'!$H$2:$Z$3,2,FALSE),"Tidak Ditemukan")</f>
        <v>On-Time (Tepat Waktu)</v>
      </c>
      <c r="J124" s="3">
        <v>6491</v>
      </c>
      <c r="K124" t="str">
        <f t="shared" si="4"/>
        <v>Jarak Jauh</v>
      </c>
      <c r="L124" s="2">
        <f t="shared" si="5"/>
        <v>50000</v>
      </c>
    </row>
    <row r="125" spans="1:12">
      <c r="A125" t="s">
        <v>250</v>
      </c>
      <c r="B125" t="s">
        <v>57</v>
      </c>
      <c r="C125" t="s">
        <v>14</v>
      </c>
      <c r="D125" t="s">
        <v>32</v>
      </c>
      <c r="E125" t="str">
        <f>IFERROR(VLOOKUP(C125,'2_Master_Data'!$A:$D,2,FALSE),"Tidak Ditemukan")</f>
        <v>Jakarta</v>
      </c>
      <c r="F125">
        <f>IFERROR(VLOOKUP(C125,'2_Master_Data'!$A:$D,3,FALSE),0)</f>
        <v>110</v>
      </c>
      <c r="G125" s="2">
        <f>IFERROR(VLOOKUP(C125,'2_Master_Data'!$A:$D,4,FALSE),0)</f>
        <v>6800</v>
      </c>
      <c r="H125" s="2">
        <f t="shared" si="3"/>
        <v>748000</v>
      </c>
      <c r="I125" t="str">
        <f>IFERROR(HLOOKUP(D125,'2_Master_Data'!$H$2:$Z$3,2,FALSE),"Tidak Ditemukan")</f>
        <v>On-Time (Tepat Waktu)</v>
      </c>
      <c r="J125" s="3">
        <v>3456</v>
      </c>
      <c r="K125" t="str">
        <f t="shared" si="4"/>
        <v>Jarak Jauh</v>
      </c>
      <c r="L125" s="2">
        <f t="shared" si="5"/>
        <v>50000</v>
      </c>
    </row>
    <row r="126" spans="1:12">
      <c r="A126" t="s">
        <v>251</v>
      </c>
      <c r="B126" t="s">
        <v>252</v>
      </c>
      <c r="C126" t="s">
        <v>11</v>
      </c>
      <c r="D126" t="s">
        <v>32</v>
      </c>
      <c r="E126" t="str">
        <f>IFERROR(VLOOKUP(C126,'2_Master_Data'!$A:$D,2,FALSE),"Tidak Ditemukan")</f>
        <v>Bandung</v>
      </c>
      <c r="F126">
        <f>IFERROR(VLOOKUP(C126,'2_Master_Data'!$A:$D,3,FALSE),0)</f>
        <v>65</v>
      </c>
      <c r="G126" s="2">
        <f>IFERROR(VLOOKUP(C126,'2_Master_Data'!$A:$D,4,FALSE),0)</f>
        <v>6800</v>
      </c>
      <c r="H126" s="2">
        <f t="shared" si="3"/>
        <v>442000</v>
      </c>
      <c r="I126" t="str">
        <f>IFERROR(HLOOKUP(D126,'2_Master_Data'!$H$2:$Z$3,2,FALSE),"Tidak Ditemukan")</f>
        <v>On-Time (Tepat Waktu)</v>
      </c>
      <c r="J126" s="3">
        <v>4915</v>
      </c>
      <c r="K126" t="str">
        <f t="shared" si="4"/>
        <v>Jarak Dekat</v>
      </c>
      <c r="L126" s="2">
        <f t="shared" si="5"/>
        <v>50000</v>
      </c>
    </row>
    <row r="127" spans="1:12">
      <c r="A127" t="s">
        <v>253</v>
      </c>
      <c r="B127" t="s">
        <v>65</v>
      </c>
      <c r="C127" t="s">
        <v>18</v>
      </c>
      <c r="D127" t="s">
        <v>32</v>
      </c>
      <c r="E127" t="str">
        <f>IFERROR(VLOOKUP(C127,'2_Master_Data'!$A:$D,2,FALSE),"Tidak Ditemukan")</f>
        <v>Cirebon</v>
      </c>
      <c r="F127">
        <f>IFERROR(VLOOKUP(C127,'2_Master_Data'!$A:$D,3,FALSE),0)</f>
        <v>220</v>
      </c>
      <c r="G127" s="2">
        <f>IFERROR(VLOOKUP(C127,'2_Master_Data'!$A:$D,4,FALSE),0)</f>
        <v>6800</v>
      </c>
      <c r="H127" s="2">
        <f t="shared" si="3"/>
        <v>1496000</v>
      </c>
      <c r="I127" t="str">
        <f>IFERROR(HLOOKUP(D127,'2_Master_Data'!$H$2:$Z$3,2,FALSE),"Tidak Ditemukan")</f>
        <v>On-Time (Tepat Waktu)</v>
      </c>
      <c r="J127" s="3">
        <v>6309</v>
      </c>
      <c r="K127" t="str">
        <f t="shared" si="4"/>
        <v>Jarak Jauh</v>
      </c>
      <c r="L127" s="2">
        <f t="shared" si="5"/>
        <v>50000</v>
      </c>
    </row>
    <row r="128" spans="1:12">
      <c r="A128" t="s">
        <v>254</v>
      </c>
      <c r="B128" t="s">
        <v>197</v>
      </c>
      <c r="C128" t="s">
        <v>12</v>
      </c>
      <c r="D128" t="s">
        <v>33</v>
      </c>
      <c r="E128" t="str">
        <f>IFERROR(VLOOKUP(C128,'2_Master_Data'!$A:$D,2,FALSE),"Tidak Ditemukan")</f>
        <v>Bukittinggi</v>
      </c>
      <c r="F128">
        <f>IFERROR(VLOOKUP(C128,'2_Master_Data'!$A:$D,3,FALSE),0)</f>
        <v>1200</v>
      </c>
      <c r="G128" s="2">
        <f>IFERROR(VLOOKUP(C128,'2_Master_Data'!$A:$D,4,FALSE),0)</f>
        <v>6800</v>
      </c>
      <c r="H128" s="2">
        <f t="shared" si="3"/>
        <v>8160000</v>
      </c>
      <c r="I128" t="str">
        <f>IFERROR(HLOOKUP(D128,'2_Master_Data'!$H$2:$Z$3,2,FALSE),"Tidak Ditemukan")</f>
        <v>Late (Terlambat)</v>
      </c>
      <c r="J128" s="3">
        <v>5162</v>
      </c>
      <c r="K128" t="str">
        <f t="shared" si="4"/>
        <v>Jarak Jauh</v>
      </c>
      <c r="L128" s="2">
        <f t="shared" si="5"/>
        <v>-20000</v>
      </c>
    </row>
    <row r="129" spans="1:12">
      <c r="A129" t="s">
        <v>255</v>
      </c>
      <c r="B129" t="s">
        <v>256</v>
      </c>
      <c r="C129" t="s">
        <v>12</v>
      </c>
      <c r="D129" t="s">
        <v>33</v>
      </c>
      <c r="E129" t="str">
        <f>IFERROR(VLOOKUP(C129,'2_Master_Data'!$A:$D,2,FALSE),"Tidak Ditemukan")</f>
        <v>Bukittinggi</v>
      </c>
      <c r="F129">
        <f>IFERROR(VLOOKUP(C129,'2_Master_Data'!$A:$D,3,FALSE),0)</f>
        <v>1200</v>
      </c>
      <c r="G129" s="2">
        <f>IFERROR(VLOOKUP(C129,'2_Master_Data'!$A:$D,4,FALSE),0)</f>
        <v>6800</v>
      </c>
      <c r="H129" s="2">
        <f t="shared" si="3"/>
        <v>8160000</v>
      </c>
      <c r="I129" t="str">
        <f>IFERROR(HLOOKUP(D129,'2_Master_Data'!$H$2:$Z$3,2,FALSE),"Tidak Ditemukan")</f>
        <v>Late (Terlambat)</v>
      </c>
      <c r="J129" s="3">
        <v>3014</v>
      </c>
      <c r="K129" t="str">
        <f t="shared" si="4"/>
        <v>Jarak Jauh</v>
      </c>
      <c r="L129" s="2">
        <f t="shared" si="5"/>
        <v>-20000</v>
      </c>
    </row>
    <row r="130" spans="1:12">
      <c r="A130" t="s">
        <v>257</v>
      </c>
      <c r="B130" t="s">
        <v>213</v>
      </c>
      <c r="C130" t="s">
        <v>19</v>
      </c>
      <c r="D130" t="s">
        <v>32</v>
      </c>
      <c r="E130" t="str">
        <f>IFERROR(VLOOKUP(C130,'2_Master_Data'!$A:$D,2,FALSE),"Tidak Ditemukan")</f>
        <v>Purwakarta</v>
      </c>
      <c r="F130">
        <f>IFERROR(VLOOKUP(C130,'2_Master_Data'!$A:$D,3,FALSE),0)</f>
        <v>95</v>
      </c>
      <c r="G130" s="2">
        <f>IFERROR(VLOOKUP(C130,'2_Master_Data'!$A:$D,4,FALSE),0)</f>
        <v>6800</v>
      </c>
      <c r="H130" s="2">
        <f t="shared" ref="H130:H151" si="6">F130*G130</f>
        <v>646000</v>
      </c>
      <c r="I130" t="str">
        <f>IFERROR(HLOOKUP(D130,'2_Master_Data'!$H$2:$Z$3,2,FALSE),"Tidak Ditemukan")</f>
        <v>On-Time (Tepat Waktu)</v>
      </c>
      <c r="J130" s="3">
        <v>1329</v>
      </c>
      <c r="K130" t="str">
        <f t="shared" ref="K130:K151" si="7">IF(F130&gt;100,"Jarak Jauh","Jarak Dekat")</f>
        <v>Jarak Dekat</v>
      </c>
      <c r="L130" s="2">
        <f t="shared" ref="L130:L151" si="8">IF(I130="On-Time (Tepat Waktu)",50000,IF(I130="Late (Terlambat)",-20000,IF(I130="Failed (Gagal Kirim)",-50000,0)))</f>
        <v>50000</v>
      </c>
    </row>
    <row r="131" spans="1:12">
      <c r="A131" t="s">
        <v>258</v>
      </c>
      <c r="B131" t="s">
        <v>63</v>
      </c>
      <c r="C131" t="s">
        <v>18</v>
      </c>
      <c r="D131" t="s">
        <v>32</v>
      </c>
      <c r="E131" t="str">
        <f>IFERROR(VLOOKUP(C131,'2_Master_Data'!$A:$D,2,FALSE),"Tidak Ditemukan")</f>
        <v>Cirebon</v>
      </c>
      <c r="F131">
        <f>IFERROR(VLOOKUP(C131,'2_Master_Data'!$A:$D,3,FALSE),0)</f>
        <v>220</v>
      </c>
      <c r="G131" s="2">
        <f>IFERROR(VLOOKUP(C131,'2_Master_Data'!$A:$D,4,FALSE),0)</f>
        <v>6800</v>
      </c>
      <c r="H131" s="2">
        <f t="shared" si="6"/>
        <v>1496000</v>
      </c>
      <c r="I131" t="str">
        <f>IFERROR(HLOOKUP(D131,'2_Master_Data'!$H$2:$Z$3,2,FALSE),"Tidak Ditemukan")</f>
        <v>On-Time (Tepat Waktu)</v>
      </c>
      <c r="J131" s="3">
        <v>7346</v>
      </c>
      <c r="K131" t="str">
        <f t="shared" si="7"/>
        <v>Jarak Jauh</v>
      </c>
      <c r="L131" s="2">
        <f t="shared" si="8"/>
        <v>50000</v>
      </c>
    </row>
    <row r="132" spans="1:12">
      <c r="A132" t="s">
        <v>259</v>
      </c>
      <c r="B132" t="s">
        <v>186</v>
      </c>
      <c r="C132" t="s">
        <v>11</v>
      </c>
      <c r="D132" t="s">
        <v>32</v>
      </c>
      <c r="E132" t="str">
        <f>IFERROR(VLOOKUP(C132,'2_Master_Data'!$A:$D,2,FALSE),"Tidak Ditemukan")</f>
        <v>Bandung</v>
      </c>
      <c r="F132">
        <f>IFERROR(VLOOKUP(C132,'2_Master_Data'!$A:$D,3,FALSE),0)</f>
        <v>65</v>
      </c>
      <c r="G132" s="2">
        <f>IFERROR(VLOOKUP(C132,'2_Master_Data'!$A:$D,4,FALSE),0)</f>
        <v>6800</v>
      </c>
      <c r="H132" s="2">
        <f t="shared" si="6"/>
        <v>442000</v>
      </c>
      <c r="I132" t="str">
        <f>IFERROR(HLOOKUP(D132,'2_Master_Data'!$H$2:$Z$3,2,FALSE),"Tidak Ditemukan")</f>
        <v>On-Time (Tepat Waktu)</v>
      </c>
      <c r="J132" s="3">
        <v>4654</v>
      </c>
      <c r="K132" t="str">
        <f t="shared" si="7"/>
        <v>Jarak Dekat</v>
      </c>
      <c r="L132" s="2">
        <f t="shared" si="8"/>
        <v>50000</v>
      </c>
    </row>
    <row r="133" spans="1:12">
      <c r="A133" t="s">
        <v>260</v>
      </c>
      <c r="B133" t="s">
        <v>188</v>
      </c>
      <c r="C133" t="s">
        <v>15</v>
      </c>
      <c r="D133" t="s">
        <v>32</v>
      </c>
      <c r="E133" t="str">
        <f>IFERROR(VLOOKUP(C133,'2_Master_Data'!$A:$D,2,FALSE),"Tidak Ditemukan")</f>
        <v>Garut</v>
      </c>
      <c r="F133">
        <f>IFERROR(VLOOKUP(C133,'2_Master_Data'!$A:$D,3,FALSE),0)</f>
        <v>130</v>
      </c>
      <c r="G133" s="2">
        <f>IFERROR(VLOOKUP(C133,'2_Master_Data'!$A:$D,4,FALSE),0)</f>
        <v>6800</v>
      </c>
      <c r="H133" s="2">
        <f t="shared" si="6"/>
        <v>884000</v>
      </c>
      <c r="I133" t="str">
        <f>IFERROR(HLOOKUP(D133,'2_Master_Data'!$H$2:$Z$3,2,FALSE),"Tidak Ditemukan")</f>
        <v>On-Time (Tepat Waktu)</v>
      </c>
      <c r="J133" s="3">
        <v>4475</v>
      </c>
      <c r="K133" t="str">
        <f t="shared" si="7"/>
        <v>Jarak Jauh</v>
      </c>
      <c r="L133" s="2">
        <f t="shared" si="8"/>
        <v>50000</v>
      </c>
    </row>
    <row r="134" spans="1:12">
      <c r="A134" t="s">
        <v>261</v>
      </c>
      <c r="B134" t="s">
        <v>262</v>
      </c>
      <c r="C134" t="s">
        <v>12</v>
      </c>
      <c r="D134" t="s">
        <v>32</v>
      </c>
      <c r="E134" t="str">
        <f>IFERROR(VLOOKUP(C134,'2_Master_Data'!$A:$D,2,FALSE),"Tidak Ditemukan")</f>
        <v>Bukittinggi</v>
      </c>
      <c r="F134">
        <f>IFERROR(VLOOKUP(C134,'2_Master_Data'!$A:$D,3,FALSE),0)</f>
        <v>1200</v>
      </c>
      <c r="G134" s="2">
        <f>IFERROR(VLOOKUP(C134,'2_Master_Data'!$A:$D,4,FALSE),0)</f>
        <v>6800</v>
      </c>
      <c r="H134" s="2">
        <f t="shared" si="6"/>
        <v>8160000</v>
      </c>
      <c r="I134" t="str">
        <f>IFERROR(HLOOKUP(D134,'2_Master_Data'!$H$2:$Z$3,2,FALSE),"Tidak Ditemukan")</f>
        <v>On-Time (Tepat Waktu)</v>
      </c>
      <c r="J134" s="3">
        <v>5160</v>
      </c>
      <c r="K134" t="str">
        <f t="shared" si="7"/>
        <v>Jarak Jauh</v>
      </c>
      <c r="L134" s="2">
        <f t="shared" si="8"/>
        <v>50000</v>
      </c>
    </row>
    <row r="135" spans="1:12">
      <c r="A135" t="s">
        <v>263</v>
      </c>
      <c r="B135" t="s">
        <v>256</v>
      </c>
      <c r="C135" t="s">
        <v>12</v>
      </c>
      <c r="D135" t="s">
        <v>33</v>
      </c>
      <c r="E135" t="str">
        <f>IFERROR(VLOOKUP(C135,'2_Master_Data'!$A:$D,2,FALSE),"Tidak Ditemukan")</f>
        <v>Bukittinggi</v>
      </c>
      <c r="F135">
        <f>IFERROR(VLOOKUP(C135,'2_Master_Data'!$A:$D,3,FALSE),0)</f>
        <v>1200</v>
      </c>
      <c r="G135" s="2">
        <f>IFERROR(VLOOKUP(C135,'2_Master_Data'!$A:$D,4,FALSE),0)</f>
        <v>6800</v>
      </c>
      <c r="H135" s="2">
        <f t="shared" si="6"/>
        <v>8160000</v>
      </c>
      <c r="I135" t="str">
        <f>IFERROR(HLOOKUP(D135,'2_Master_Data'!$H$2:$Z$3,2,FALSE),"Tidak Ditemukan")</f>
        <v>Late (Terlambat)</v>
      </c>
      <c r="J135" s="3">
        <v>1509</v>
      </c>
      <c r="K135" t="str">
        <f t="shared" si="7"/>
        <v>Jarak Jauh</v>
      </c>
      <c r="L135" s="2">
        <f t="shared" si="8"/>
        <v>-20000</v>
      </c>
    </row>
    <row r="136" spans="1:12">
      <c r="A136" t="s">
        <v>264</v>
      </c>
      <c r="B136" t="s">
        <v>265</v>
      </c>
      <c r="C136" t="s">
        <v>11</v>
      </c>
      <c r="D136" t="s">
        <v>32</v>
      </c>
      <c r="E136" t="str">
        <f>IFERROR(VLOOKUP(C136,'2_Master_Data'!$A:$D,2,FALSE),"Tidak Ditemukan")</f>
        <v>Bandung</v>
      </c>
      <c r="F136">
        <f>IFERROR(VLOOKUP(C136,'2_Master_Data'!$A:$D,3,FALSE),0)</f>
        <v>65</v>
      </c>
      <c r="G136" s="2">
        <f>IFERROR(VLOOKUP(C136,'2_Master_Data'!$A:$D,4,FALSE),0)</f>
        <v>6800</v>
      </c>
      <c r="H136" s="2">
        <f t="shared" si="6"/>
        <v>442000</v>
      </c>
      <c r="I136" t="str">
        <f>IFERROR(HLOOKUP(D136,'2_Master_Data'!$H$2:$Z$3,2,FALSE),"Tidak Ditemukan")</f>
        <v>On-Time (Tepat Waktu)</v>
      </c>
      <c r="J136" s="3">
        <v>5400</v>
      </c>
      <c r="K136" t="str">
        <f t="shared" si="7"/>
        <v>Jarak Dekat</v>
      </c>
      <c r="L136" s="2">
        <f t="shared" si="8"/>
        <v>50000</v>
      </c>
    </row>
    <row r="137" spans="1:12">
      <c r="A137" t="s">
        <v>266</v>
      </c>
      <c r="B137" t="s">
        <v>200</v>
      </c>
      <c r="C137" t="s">
        <v>16</v>
      </c>
      <c r="D137" t="s">
        <v>33</v>
      </c>
      <c r="E137" t="str">
        <f>IFERROR(VLOOKUP(C137,'2_Master_Data'!$A:$D,2,FALSE),"Tidak Ditemukan")</f>
        <v>Sukabumi</v>
      </c>
      <c r="F137">
        <f>IFERROR(VLOOKUP(C137,'2_Master_Data'!$A:$D,3,FALSE),0)</f>
        <v>45</v>
      </c>
      <c r="G137" s="2">
        <f>IFERROR(VLOOKUP(C137,'2_Master_Data'!$A:$D,4,FALSE),0)</f>
        <v>6800</v>
      </c>
      <c r="H137" s="2">
        <f t="shared" si="6"/>
        <v>306000</v>
      </c>
      <c r="I137" t="str">
        <f>IFERROR(HLOOKUP(D137,'2_Master_Data'!$H$2:$Z$3,2,FALSE),"Tidak Ditemukan")</f>
        <v>Late (Terlambat)</v>
      </c>
      <c r="J137" s="3">
        <v>1157</v>
      </c>
      <c r="K137" t="str">
        <f t="shared" si="7"/>
        <v>Jarak Dekat</v>
      </c>
      <c r="L137" s="2">
        <f t="shared" si="8"/>
        <v>-20000</v>
      </c>
    </row>
    <row r="138" spans="1:12">
      <c r="A138" t="s">
        <v>267</v>
      </c>
      <c r="B138" t="s">
        <v>71</v>
      </c>
      <c r="C138" t="s">
        <v>16</v>
      </c>
      <c r="D138" t="s">
        <v>32</v>
      </c>
      <c r="E138" t="str">
        <f>IFERROR(VLOOKUP(C138,'2_Master_Data'!$A:$D,2,FALSE),"Tidak Ditemukan")</f>
        <v>Sukabumi</v>
      </c>
      <c r="F138">
        <f>IFERROR(VLOOKUP(C138,'2_Master_Data'!$A:$D,3,FALSE),0)</f>
        <v>45</v>
      </c>
      <c r="G138" s="2">
        <f>IFERROR(VLOOKUP(C138,'2_Master_Data'!$A:$D,4,FALSE),0)</f>
        <v>6800</v>
      </c>
      <c r="H138" s="2">
        <f t="shared" si="6"/>
        <v>306000</v>
      </c>
      <c r="I138" t="str">
        <f>IFERROR(HLOOKUP(D138,'2_Master_Data'!$H$2:$Z$3,2,FALSE),"Tidak Ditemukan")</f>
        <v>On-Time (Tepat Waktu)</v>
      </c>
      <c r="J138" s="3">
        <v>1567</v>
      </c>
      <c r="K138" t="str">
        <f t="shared" si="7"/>
        <v>Jarak Dekat</v>
      </c>
      <c r="L138" s="2">
        <f t="shared" si="8"/>
        <v>50000</v>
      </c>
    </row>
    <row r="139" spans="1:12">
      <c r="A139" t="s">
        <v>268</v>
      </c>
      <c r="B139" t="s">
        <v>269</v>
      </c>
      <c r="C139" t="s">
        <v>12</v>
      </c>
      <c r="D139" t="s">
        <v>32</v>
      </c>
      <c r="E139" t="str">
        <f>IFERROR(VLOOKUP(C139,'2_Master_Data'!$A:$D,2,FALSE),"Tidak Ditemukan")</f>
        <v>Bukittinggi</v>
      </c>
      <c r="F139">
        <f>IFERROR(VLOOKUP(C139,'2_Master_Data'!$A:$D,3,FALSE),0)</f>
        <v>1200</v>
      </c>
      <c r="G139" s="2">
        <f>IFERROR(VLOOKUP(C139,'2_Master_Data'!$A:$D,4,FALSE),0)</f>
        <v>6800</v>
      </c>
      <c r="H139" s="2">
        <f t="shared" si="6"/>
        <v>8160000</v>
      </c>
      <c r="I139" t="str">
        <f>IFERROR(HLOOKUP(D139,'2_Master_Data'!$H$2:$Z$3,2,FALSE),"Tidak Ditemukan")</f>
        <v>On-Time (Tepat Waktu)</v>
      </c>
      <c r="J139" s="3">
        <v>7133</v>
      </c>
      <c r="K139" t="str">
        <f t="shared" si="7"/>
        <v>Jarak Jauh</v>
      </c>
      <c r="L139" s="2">
        <f t="shared" si="8"/>
        <v>50000</v>
      </c>
    </row>
    <row r="140" spans="1:12">
      <c r="A140" t="s">
        <v>270</v>
      </c>
      <c r="B140" t="s">
        <v>67</v>
      </c>
      <c r="C140" t="s">
        <v>19</v>
      </c>
      <c r="D140" t="s">
        <v>32</v>
      </c>
      <c r="E140" t="str">
        <f>IFERROR(VLOOKUP(C140,'2_Master_Data'!$A:$D,2,FALSE),"Tidak Ditemukan")</f>
        <v>Purwakarta</v>
      </c>
      <c r="F140">
        <f>IFERROR(VLOOKUP(C140,'2_Master_Data'!$A:$D,3,FALSE),0)</f>
        <v>95</v>
      </c>
      <c r="G140" s="2">
        <f>IFERROR(VLOOKUP(C140,'2_Master_Data'!$A:$D,4,FALSE),0)</f>
        <v>6800</v>
      </c>
      <c r="H140" s="2">
        <f t="shared" si="6"/>
        <v>646000</v>
      </c>
      <c r="I140" t="str">
        <f>IFERROR(HLOOKUP(D140,'2_Master_Data'!$H$2:$Z$3,2,FALSE),"Tidak Ditemukan")</f>
        <v>On-Time (Tepat Waktu)</v>
      </c>
      <c r="J140" s="3">
        <v>3251</v>
      </c>
      <c r="K140" t="str">
        <f t="shared" si="7"/>
        <v>Jarak Dekat</v>
      </c>
      <c r="L140" s="2">
        <f t="shared" si="8"/>
        <v>50000</v>
      </c>
    </row>
    <row r="141" spans="1:12">
      <c r="A141" t="s">
        <v>271</v>
      </c>
      <c r="B141" t="s">
        <v>94</v>
      </c>
      <c r="C141" t="s">
        <v>11</v>
      </c>
      <c r="D141" t="s">
        <v>34</v>
      </c>
      <c r="E141" t="str">
        <f>IFERROR(VLOOKUP(C141,'2_Master_Data'!$A:$D,2,FALSE),"Tidak Ditemukan")</f>
        <v>Bandung</v>
      </c>
      <c r="F141">
        <f>IFERROR(VLOOKUP(C141,'2_Master_Data'!$A:$D,3,FALSE),0)</f>
        <v>65</v>
      </c>
      <c r="G141" s="2">
        <f>IFERROR(VLOOKUP(C141,'2_Master_Data'!$A:$D,4,FALSE),0)</f>
        <v>6800</v>
      </c>
      <c r="H141" s="2">
        <f t="shared" si="6"/>
        <v>442000</v>
      </c>
      <c r="I141" t="str">
        <f>IFERROR(HLOOKUP(D141,'2_Master_Data'!$H$2:$Z$3,2,FALSE),"Tidak Ditemukan")</f>
        <v>Failed (Gagal Kirim)</v>
      </c>
      <c r="J141" s="3">
        <v>2920</v>
      </c>
      <c r="K141" t="str">
        <f t="shared" si="7"/>
        <v>Jarak Dekat</v>
      </c>
      <c r="L141" s="2">
        <f t="shared" si="8"/>
        <v>-50000</v>
      </c>
    </row>
    <row r="142" spans="1:12">
      <c r="A142" t="s">
        <v>272</v>
      </c>
      <c r="B142" t="s">
        <v>273</v>
      </c>
      <c r="C142" t="s">
        <v>13</v>
      </c>
      <c r="D142" t="s">
        <v>32</v>
      </c>
      <c r="E142" t="str">
        <f>IFERROR(VLOOKUP(C142,'2_Master_Data'!$A:$D,2,FALSE),"Tidak Ditemukan")</f>
        <v>Bogor</v>
      </c>
      <c r="F142">
        <f>IFERROR(VLOOKUP(C142,'2_Master_Data'!$A:$D,3,FALSE),0)</f>
        <v>80</v>
      </c>
      <c r="G142" s="2">
        <f>IFERROR(VLOOKUP(C142,'2_Master_Data'!$A:$D,4,FALSE),0)</f>
        <v>6800</v>
      </c>
      <c r="H142" s="2">
        <f t="shared" si="6"/>
        <v>544000</v>
      </c>
      <c r="I142" t="str">
        <f>IFERROR(HLOOKUP(D142,'2_Master_Data'!$H$2:$Z$3,2,FALSE),"Tidak Ditemukan")</f>
        <v>On-Time (Tepat Waktu)</v>
      </c>
      <c r="J142" s="3">
        <v>5947</v>
      </c>
      <c r="K142" t="str">
        <f t="shared" si="7"/>
        <v>Jarak Dekat</v>
      </c>
      <c r="L142" s="2">
        <f t="shared" si="8"/>
        <v>50000</v>
      </c>
    </row>
    <row r="143" spans="1:12">
      <c r="A143" t="s">
        <v>274</v>
      </c>
      <c r="B143" t="s">
        <v>275</v>
      </c>
      <c r="C143" t="s">
        <v>15</v>
      </c>
      <c r="D143" t="s">
        <v>32</v>
      </c>
      <c r="E143" t="str">
        <f>IFERROR(VLOOKUP(C143,'2_Master_Data'!$A:$D,2,FALSE),"Tidak Ditemukan")</f>
        <v>Garut</v>
      </c>
      <c r="F143">
        <f>IFERROR(VLOOKUP(C143,'2_Master_Data'!$A:$D,3,FALSE),0)</f>
        <v>130</v>
      </c>
      <c r="G143" s="2">
        <f>IFERROR(VLOOKUP(C143,'2_Master_Data'!$A:$D,4,FALSE),0)</f>
        <v>6800</v>
      </c>
      <c r="H143" s="2">
        <f t="shared" si="6"/>
        <v>884000</v>
      </c>
      <c r="I143" t="str">
        <f>IFERROR(HLOOKUP(D143,'2_Master_Data'!$H$2:$Z$3,2,FALSE),"Tidak Ditemukan")</f>
        <v>On-Time (Tepat Waktu)</v>
      </c>
      <c r="J143" s="3">
        <v>4268</v>
      </c>
      <c r="K143" t="str">
        <f t="shared" si="7"/>
        <v>Jarak Jauh</v>
      </c>
      <c r="L143" s="2">
        <f t="shared" si="8"/>
        <v>50000</v>
      </c>
    </row>
    <row r="144" spans="1:12">
      <c r="A144" t="s">
        <v>276</v>
      </c>
      <c r="B144" t="s">
        <v>277</v>
      </c>
      <c r="C144" t="s">
        <v>13</v>
      </c>
      <c r="D144" t="s">
        <v>34</v>
      </c>
      <c r="E144" t="str">
        <f>IFERROR(VLOOKUP(C144,'2_Master_Data'!$A:$D,2,FALSE),"Tidak Ditemukan")</f>
        <v>Bogor</v>
      </c>
      <c r="F144">
        <f>IFERROR(VLOOKUP(C144,'2_Master_Data'!$A:$D,3,FALSE),0)</f>
        <v>80</v>
      </c>
      <c r="G144" s="2">
        <f>IFERROR(VLOOKUP(C144,'2_Master_Data'!$A:$D,4,FALSE),0)</f>
        <v>6800</v>
      </c>
      <c r="H144" s="2">
        <f t="shared" si="6"/>
        <v>544000</v>
      </c>
      <c r="I144" t="str">
        <f>IFERROR(HLOOKUP(D144,'2_Master_Data'!$H$2:$Z$3,2,FALSE),"Tidak Ditemukan")</f>
        <v>Failed (Gagal Kirim)</v>
      </c>
      <c r="J144" s="3">
        <v>3275</v>
      </c>
      <c r="K144" t="str">
        <f t="shared" si="7"/>
        <v>Jarak Dekat</v>
      </c>
      <c r="L144" s="2">
        <f t="shared" si="8"/>
        <v>-50000</v>
      </c>
    </row>
    <row r="145" spans="1:12">
      <c r="A145" t="s">
        <v>278</v>
      </c>
      <c r="B145" t="s">
        <v>275</v>
      </c>
      <c r="C145" t="s">
        <v>11</v>
      </c>
      <c r="D145" t="s">
        <v>32</v>
      </c>
      <c r="E145" t="str">
        <f>IFERROR(VLOOKUP(C145,'2_Master_Data'!$A:$D,2,FALSE),"Tidak Ditemukan")</f>
        <v>Bandung</v>
      </c>
      <c r="F145">
        <f>IFERROR(VLOOKUP(C145,'2_Master_Data'!$A:$D,3,FALSE),0)</f>
        <v>65</v>
      </c>
      <c r="G145" s="2">
        <f>IFERROR(VLOOKUP(C145,'2_Master_Data'!$A:$D,4,FALSE),0)</f>
        <v>6800</v>
      </c>
      <c r="H145" s="2">
        <f t="shared" si="6"/>
        <v>442000</v>
      </c>
      <c r="I145" t="str">
        <f>IFERROR(HLOOKUP(D145,'2_Master_Data'!$H$2:$Z$3,2,FALSE),"Tidak Ditemukan")</f>
        <v>On-Time (Tepat Waktu)</v>
      </c>
      <c r="J145" s="3">
        <v>4595</v>
      </c>
      <c r="K145" t="str">
        <f t="shared" si="7"/>
        <v>Jarak Dekat</v>
      </c>
      <c r="L145" s="2">
        <f t="shared" si="8"/>
        <v>50000</v>
      </c>
    </row>
    <row r="146" spans="1:12">
      <c r="A146" t="s">
        <v>279</v>
      </c>
      <c r="B146" t="s">
        <v>188</v>
      </c>
      <c r="C146" t="s">
        <v>12</v>
      </c>
      <c r="D146" t="s">
        <v>32</v>
      </c>
      <c r="E146" t="str">
        <f>IFERROR(VLOOKUP(C146,'2_Master_Data'!$A:$D,2,FALSE),"Tidak Ditemukan")</f>
        <v>Bukittinggi</v>
      </c>
      <c r="F146">
        <f>IFERROR(VLOOKUP(C146,'2_Master_Data'!$A:$D,3,FALSE),0)</f>
        <v>1200</v>
      </c>
      <c r="G146" s="2">
        <f>IFERROR(VLOOKUP(C146,'2_Master_Data'!$A:$D,4,FALSE),0)</f>
        <v>6800</v>
      </c>
      <c r="H146" s="2">
        <f t="shared" si="6"/>
        <v>8160000</v>
      </c>
      <c r="I146" t="str">
        <f>IFERROR(HLOOKUP(D146,'2_Master_Data'!$H$2:$Z$3,2,FALSE),"Tidak Ditemukan")</f>
        <v>On-Time (Tepat Waktu)</v>
      </c>
      <c r="J146" s="3">
        <v>4754</v>
      </c>
      <c r="K146" t="str">
        <f t="shared" si="7"/>
        <v>Jarak Jauh</v>
      </c>
      <c r="L146" s="2">
        <f t="shared" si="8"/>
        <v>50000</v>
      </c>
    </row>
    <row r="147" spans="1:12">
      <c r="A147" t="s">
        <v>280</v>
      </c>
      <c r="B147" t="s">
        <v>246</v>
      </c>
      <c r="C147" t="s">
        <v>18</v>
      </c>
      <c r="D147" t="s">
        <v>34</v>
      </c>
      <c r="E147" t="str">
        <f>IFERROR(VLOOKUP(C147,'2_Master_Data'!$A:$D,2,FALSE),"Tidak Ditemukan")</f>
        <v>Cirebon</v>
      </c>
      <c r="F147">
        <f>IFERROR(VLOOKUP(C147,'2_Master_Data'!$A:$D,3,FALSE),0)</f>
        <v>220</v>
      </c>
      <c r="G147" s="2">
        <f>IFERROR(VLOOKUP(C147,'2_Master_Data'!$A:$D,4,FALSE),0)</f>
        <v>6800</v>
      </c>
      <c r="H147" s="2">
        <f t="shared" si="6"/>
        <v>1496000</v>
      </c>
      <c r="I147" t="str">
        <f>IFERROR(HLOOKUP(D147,'2_Master_Data'!$H$2:$Z$3,2,FALSE),"Tidak Ditemukan")</f>
        <v>Failed (Gagal Kirim)</v>
      </c>
      <c r="J147" s="3">
        <v>3881</v>
      </c>
      <c r="K147" t="str">
        <f t="shared" si="7"/>
        <v>Jarak Jauh</v>
      </c>
      <c r="L147" s="2">
        <f t="shared" si="8"/>
        <v>-50000</v>
      </c>
    </row>
    <row r="148" spans="1:12">
      <c r="A148" t="s">
        <v>281</v>
      </c>
      <c r="B148" t="s">
        <v>197</v>
      </c>
      <c r="C148" t="s">
        <v>18</v>
      </c>
      <c r="D148" t="s">
        <v>32</v>
      </c>
      <c r="E148" t="str">
        <f>IFERROR(VLOOKUP(C148,'2_Master_Data'!$A:$D,2,FALSE),"Tidak Ditemukan")</f>
        <v>Cirebon</v>
      </c>
      <c r="F148">
        <f>IFERROR(VLOOKUP(C148,'2_Master_Data'!$A:$D,3,FALSE),0)</f>
        <v>220</v>
      </c>
      <c r="G148" s="2">
        <f>IFERROR(VLOOKUP(C148,'2_Master_Data'!$A:$D,4,FALSE),0)</f>
        <v>6800</v>
      </c>
      <c r="H148" s="2">
        <f t="shared" si="6"/>
        <v>1496000</v>
      </c>
      <c r="I148" t="str">
        <f>IFERROR(HLOOKUP(D148,'2_Master_Data'!$H$2:$Z$3,2,FALSE),"Tidak Ditemukan")</f>
        <v>On-Time (Tepat Waktu)</v>
      </c>
      <c r="J148" s="3">
        <v>7635</v>
      </c>
      <c r="K148" t="str">
        <f t="shared" si="7"/>
        <v>Jarak Jauh</v>
      </c>
      <c r="L148" s="2">
        <f t="shared" si="8"/>
        <v>50000</v>
      </c>
    </row>
    <row r="149" spans="1:12">
      <c r="A149" t="s">
        <v>282</v>
      </c>
      <c r="B149" t="s">
        <v>87</v>
      </c>
      <c r="C149" t="s">
        <v>16</v>
      </c>
      <c r="D149" t="s">
        <v>33</v>
      </c>
      <c r="E149" t="str">
        <f>IFERROR(VLOOKUP(C149,'2_Master_Data'!$A:$D,2,FALSE),"Tidak Ditemukan")</f>
        <v>Sukabumi</v>
      </c>
      <c r="F149">
        <f>IFERROR(VLOOKUP(C149,'2_Master_Data'!$A:$D,3,FALSE),0)</f>
        <v>45</v>
      </c>
      <c r="G149" s="2">
        <f>IFERROR(VLOOKUP(C149,'2_Master_Data'!$A:$D,4,FALSE),0)</f>
        <v>6800</v>
      </c>
      <c r="H149" s="2">
        <f t="shared" si="6"/>
        <v>306000</v>
      </c>
      <c r="I149" t="str">
        <f>IFERROR(HLOOKUP(D149,'2_Master_Data'!$H$2:$Z$3,2,FALSE),"Tidak Ditemukan")</f>
        <v>Late (Terlambat)</v>
      </c>
      <c r="J149" s="3">
        <v>4485</v>
      </c>
      <c r="K149" t="str">
        <f t="shared" si="7"/>
        <v>Jarak Dekat</v>
      </c>
      <c r="L149" s="2">
        <f t="shared" si="8"/>
        <v>-20000</v>
      </c>
    </row>
    <row r="150" spans="1:12">
      <c r="A150" t="s">
        <v>283</v>
      </c>
      <c r="B150" t="s">
        <v>273</v>
      </c>
      <c r="C150" t="s">
        <v>18</v>
      </c>
      <c r="D150" t="s">
        <v>33</v>
      </c>
      <c r="E150" t="str">
        <f>IFERROR(VLOOKUP(C150,'2_Master_Data'!$A:$D,2,FALSE),"Tidak Ditemukan")</f>
        <v>Cirebon</v>
      </c>
      <c r="F150">
        <f>IFERROR(VLOOKUP(C150,'2_Master_Data'!$A:$D,3,FALSE),0)</f>
        <v>220</v>
      </c>
      <c r="G150" s="2">
        <f>IFERROR(VLOOKUP(C150,'2_Master_Data'!$A:$D,4,FALSE),0)</f>
        <v>6800</v>
      </c>
      <c r="H150" s="2">
        <f t="shared" si="6"/>
        <v>1496000</v>
      </c>
      <c r="I150" t="str">
        <f>IFERROR(HLOOKUP(D150,'2_Master_Data'!$H$2:$Z$3,2,FALSE),"Tidak Ditemukan")</f>
        <v>Late (Terlambat)</v>
      </c>
      <c r="J150" s="3">
        <v>6506</v>
      </c>
      <c r="K150" t="str">
        <f t="shared" si="7"/>
        <v>Jarak Jauh</v>
      </c>
      <c r="L150" s="2">
        <f t="shared" si="8"/>
        <v>-20000</v>
      </c>
    </row>
    <row r="151" spans="1:12">
      <c r="A151" t="s">
        <v>284</v>
      </c>
      <c r="B151" t="s">
        <v>100</v>
      </c>
      <c r="C151" t="s">
        <v>15</v>
      </c>
      <c r="D151" t="s">
        <v>32</v>
      </c>
      <c r="E151" t="str">
        <f>IFERROR(VLOOKUP(C151,'2_Master_Data'!$A:$D,2,FALSE),"Tidak Ditemukan")</f>
        <v>Garut</v>
      </c>
      <c r="F151">
        <f>IFERROR(VLOOKUP(C151,'2_Master_Data'!$A:$D,3,FALSE),0)</f>
        <v>130</v>
      </c>
      <c r="G151" s="2">
        <f>IFERROR(VLOOKUP(C151,'2_Master_Data'!$A:$D,4,FALSE),0)</f>
        <v>6800</v>
      </c>
      <c r="H151" s="2">
        <f t="shared" si="6"/>
        <v>884000</v>
      </c>
      <c r="I151" t="str">
        <f>IFERROR(HLOOKUP(D151,'2_Master_Data'!$H$2:$Z$3,2,FALSE),"Tidak Ditemukan")</f>
        <v>On-Time (Tepat Waktu)</v>
      </c>
      <c r="J151" s="3">
        <v>6072</v>
      </c>
      <c r="K151" t="str">
        <f t="shared" si="7"/>
        <v>Jarak Jauh</v>
      </c>
      <c r="L151" s="2">
        <f t="shared" si="8"/>
        <v>50000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1_Executive_Dashboard</vt:lpstr>
      <vt:lpstr>2_Master_Data</vt:lpstr>
      <vt:lpstr>3_Data_Transaksi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Desyifa Aliyatulhusna</cp:lastModifiedBy>
  <dcterms:created xsi:type="dcterms:W3CDTF">2026-10-29T03:04:00Z</dcterms:created>
  <dcterms:modified xsi:type="dcterms:W3CDTF">2026-10-29T05:32:17Z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649623CAA72045BC9306822261348F0A_12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